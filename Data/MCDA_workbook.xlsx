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joelthomas/Downloads/"/>
    </mc:Choice>
  </mc:AlternateContent>
  <xr:revisionPtr revIDLastSave="0" documentId="8_{411CB19D-B369-F94C-A454-9D7F890307B1}" xr6:coauthVersionLast="47" xr6:coauthVersionMax="47" xr10:uidLastSave="{00000000-0000-0000-0000-000000000000}"/>
  <bookViews>
    <workbookView xWindow="0" yWindow="500" windowWidth="28060" windowHeight="24780" tabRatio="500" activeTab="8" xr2:uid="{00000000-000D-0000-FFFF-FFFF00000000}"/>
  </bookViews>
  <sheets>
    <sheet name="Scores" sheetId="1" r:id="rId1"/>
    <sheet name="Weights" sheetId="2" r:id="rId2"/>
    <sheet name="Results" sheetId="3" r:id="rId3"/>
    <sheet name="Sensitivity_C1" sheetId="4" r:id="rId4"/>
    <sheet name="Sensitivity_C2" sheetId="5" r:id="rId5"/>
    <sheet name="Sensitivity_C3" sheetId="6" r:id="rId6"/>
    <sheet name="Sensitivity_C4" sheetId="7" r:id="rId7"/>
    <sheet name="Sensitivity_C5" sheetId="8" r:id="rId8"/>
    <sheet name="Sensitivity_C6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8" i="9" l="1"/>
  <c r="C57" i="9"/>
  <c r="B55" i="9"/>
  <c r="E55" i="9" s="1"/>
  <c r="B54" i="9"/>
  <c r="E54" i="9" s="1"/>
  <c r="E53" i="9"/>
  <c r="C53" i="9"/>
  <c r="F53" i="9" s="1"/>
  <c r="B53" i="9"/>
  <c r="D53" i="9" s="1"/>
  <c r="E52" i="9"/>
  <c r="D52" i="9"/>
  <c r="C52" i="9"/>
  <c r="F52" i="9" s="1"/>
  <c r="B52" i="9"/>
  <c r="E51" i="9"/>
  <c r="B51" i="9"/>
  <c r="D51" i="9" s="1"/>
  <c r="E50" i="9"/>
  <c r="B50" i="9"/>
  <c r="D50" i="9" s="1"/>
  <c r="C49" i="9"/>
  <c r="B49" i="9"/>
  <c r="E48" i="9"/>
  <c r="D48" i="9"/>
  <c r="B48" i="9"/>
  <c r="C48" i="9" s="1"/>
  <c r="F48" i="9" s="1"/>
  <c r="E47" i="9"/>
  <c r="D47" i="9"/>
  <c r="B47" i="9"/>
  <c r="C47" i="9" s="1"/>
  <c r="B46" i="9"/>
  <c r="F45" i="9"/>
  <c r="E45" i="9"/>
  <c r="D45" i="9"/>
  <c r="C45" i="9"/>
  <c r="B45" i="9"/>
  <c r="D44" i="9"/>
  <c r="C44" i="9"/>
  <c r="B44" i="9"/>
  <c r="E44" i="9" s="1"/>
  <c r="E43" i="9"/>
  <c r="B43" i="9"/>
  <c r="D43" i="9" s="1"/>
  <c r="E42" i="9"/>
  <c r="B42" i="9"/>
  <c r="D42" i="9" s="1"/>
  <c r="C41" i="9"/>
  <c r="B41" i="9"/>
  <c r="E40" i="9"/>
  <c r="D40" i="9"/>
  <c r="F40" i="9" s="1"/>
  <c r="C40" i="9"/>
  <c r="B40" i="9"/>
  <c r="E39" i="9"/>
  <c r="D39" i="9"/>
  <c r="B39" i="9"/>
  <c r="C39" i="9" s="1"/>
  <c r="F39" i="9" s="1"/>
  <c r="B38" i="9"/>
  <c r="F37" i="9"/>
  <c r="E37" i="9"/>
  <c r="D37" i="9"/>
  <c r="C37" i="9"/>
  <c r="B37" i="9"/>
  <c r="D36" i="9"/>
  <c r="C36" i="9"/>
  <c r="F36" i="9" s="1"/>
  <c r="B36" i="9"/>
  <c r="E36" i="9" s="1"/>
  <c r="E35" i="9"/>
  <c r="B35" i="9"/>
  <c r="D35" i="9" s="1"/>
  <c r="E34" i="9"/>
  <c r="B34" i="9"/>
  <c r="D34" i="9" s="1"/>
  <c r="B33" i="9"/>
  <c r="E32" i="9"/>
  <c r="D32" i="9"/>
  <c r="F32" i="9" s="1"/>
  <c r="C32" i="9"/>
  <c r="B32" i="9"/>
  <c r="E31" i="9"/>
  <c r="D31" i="9"/>
  <c r="B31" i="9"/>
  <c r="C31" i="9" s="1"/>
  <c r="B30" i="9"/>
  <c r="F29" i="9"/>
  <c r="E29" i="9"/>
  <c r="D29" i="9"/>
  <c r="C29" i="9"/>
  <c r="B29" i="9"/>
  <c r="D28" i="9"/>
  <c r="C28" i="9"/>
  <c r="B28" i="9"/>
  <c r="E28" i="9" s="1"/>
  <c r="E27" i="9"/>
  <c r="B27" i="9"/>
  <c r="D27" i="9" s="1"/>
  <c r="E26" i="9"/>
  <c r="B26" i="9"/>
  <c r="D26" i="9" s="1"/>
  <c r="C25" i="9"/>
  <c r="B25" i="9"/>
  <c r="E24" i="9"/>
  <c r="D24" i="9"/>
  <c r="F24" i="9" s="1"/>
  <c r="C24" i="9"/>
  <c r="B24" i="9"/>
  <c r="E23" i="9"/>
  <c r="D23" i="9"/>
  <c r="B23" i="9"/>
  <c r="C23" i="9" s="1"/>
  <c r="B22" i="9"/>
  <c r="F21" i="9"/>
  <c r="E21" i="9"/>
  <c r="D21" i="9"/>
  <c r="C21" i="9"/>
  <c r="B21" i="9"/>
  <c r="D20" i="9"/>
  <c r="C20" i="9"/>
  <c r="F20" i="9" s="1"/>
  <c r="B20" i="9"/>
  <c r="E20" i="9" s="1"/>
  <c r="E19" i="9"/>
  <c r="B19" i="9"/>
  <c r="D19" i="9" s="1"/>
  <c r="B18" i="9"/>
  <c r="B17" i="9"/>
  <c r="E16" i="9"/>
  <c r="D16" i="9"/>
  <c r="F16" i="9" s="1"/>
  <c r="C16" i="9"/>
  <c r="B16" i="9"/>
  <c r="E15" i="9"/>
  <c r="D15" i="9"/>
  <c r="B15" i="9"/>
  <c r="C15" i="9" s="1"/>
  <c r="B14" i="9"/>
  <c r="E13" i="9"/>
  <c r="D13" i="9"/>
  <c r="C13" i="9"/>
  <c r="F13" i="9" s="1"/>
  <c r="B13" i="9"/>
  <c r="D12" i="9"/>
  <c r="C12" i="9"/>
  <c r="F12" i="9" s="1"/>
  <c r="B12" i="9"/>
  <c r="E12" i="9" s="1"/>
  <c r="E11" i="9"/>
  <c r="B11" i="9"/>
  <c r="D11" i="9" s="1"/>
  <c r="E10" i="9"/>
  <c r="B10" i="9"/>
  <c r="B9" i="9"/>
  <c r="E8" i="9"/>
  <c r="D8" i="9"/>
  <c r="F8" i="9" s="1"/>
  <c r="C8" i="9"/>
  <c r="B8" i="9"/>
  <c r="E7" i="9"/>
  <c r="D7" i="9"/>
  <c r="B7" i="9"/>
  <c r="C7" i="9" s="1"/>
  <c r="B6" i="9"/>
  <c r="E5" i="9"/>
  <c r="D5" i="9"/>
  <c r="C5" i="9"/>
  <c r="F5" i="9" s="1"/>
  <c r="B5" i="9"/>
  <c r="C58" i="8"/>
  <c r="C57" i="8"/>
  <c r="B55" i="8"/>
  <c r="C54" i="8"/>
  <c r="B54" i="8"/>
  <c r="E53" i="8"/>
  <c r="D53" i="8"/>
  <c r="F53" i="8" s="1"/>
  <c r="C53" i="8"/>
  <c r="B53" i="8"/>
  <c r="E52" i="8"/>
  <c r="D52" i="8"/>
  <c r="B52" i="8"/>
  <c r="C52" i="8" s="1"/>
  <c r="F52" i="8" s="1"/>
  <c r="B51" i="8"/>
  <c r="F50" i="8"/>
  <c r="E50" i="8"/>
  <c r="D50" i="8"/>
  <c r="C50" i="8"/>
  <c r="B50" i="8"/>
  <c r="D49" i="8"/>
  <c r="C49" i="8"/>
  <c r="B49" i="8"/>
  <c r="E49" i="8" s="1"/>
  <c r="E48" i="8"/>
  <c r="B48" i="8"/>
  <c r="D48" i="8" s="1"/>
  <c r="E47" i="8"/>
  <c r="B47" i="8"/>
  <c r="B46" i="8"/>
  <c r="E45" i="8"/>
  <c r="D45" i="8"/>
  <c r="F45" i="8" s="1"/>
  <c r="C45" i="8"/>
  <c r="B45" i="8"/>
  <c r="E44" i="8"/>
  <c r="D44" i="8"/>
  <c r="B44" i="8"/>
  <c r="C44" i="8" s="1"/>
  <c r="B43" i="8"/>
  <c r="E42" i="8"/>
  <c r="D42" i="8"/>
  <c r="C42" i="8"/>
  <c r="F42" i="8" s="1"/>
  <c r="B42" i="8"/>
  <c r="D41" i="8"/>
  <c r="C41" i="8"/>
  <c r="F41" i="8" s="1"/>
  <c r="B41" i="8"/>
  <c r="E41" i="8" s="1"/>
  <c r="E40" i="8"/>
  <c r="B40" i="8"/>
  <c r="D40" i="8" s="1"/>
  <c r="B39" i="8"/>
  <c r="B38" i="8"/>
  <c r="E37" i="8"/>
  <c r="D37" i="8"/>
  <c r="F37" i="8" s="1"/>
  <c r="C37" i="8"/>
  <c r="B37" i="8"/>
  <c r="E36" i="8"/>
  <c r="D36" i="8"/>
  <c r="B36" i="8"/>
  <c r="C36" i="8" s="1"/>
  <c r="B35" i="8"/>
  <c r="E34" i="8"/>
  <c r="D34" i="8"/>
  <c r="C34" i="8"/>
  <c r="F34" i="8" s="1"/>
  <c r="B34" i="8"/>
  <c r="D33" i="8"/>
  <c r="C33" i="8"/>
  <c r="B33" i="8"/>
  <c r="E33" i="8" s="1"/>
  <c r="E32" i="8"/>
  <c r="B32" i="8"/>
  <c r="D32" i="8" s="1"/>
  <c r="E31" i="8"/>
  <c r="B31" i="8"/>
  <c r="C30" i="8"/>
  <c r="B30" i="8"/>
  <c r="E29" i="8"/>
  <c r="D29" i="8"/>
  <c r="F29" i="8" s="1"/>
  <c r="C29" i="8"/>
  <c r="B29" i="8"/>
  <c r="E28" i="8"/>
  <c r="D28" i="8"/>
  <c r="B28" i="8"/>
  <c r="C28" i="8" s="1"/>
  <c r="B27" i="8"/>
  <c r="E26" i="8"/>
  <c r="D26" i="8"/>
  <c r="C26" i="8"/>
  <c r="F26" i="8" s="1"/>
  <c r="B26" i="8"/>
  <c r="D25" i="8"/>
  <c r="C25" i="8"/>
  <c r="B25" i="8"/>
  <c r="E25" i="8" s="1"/>
  <c r="E24" i="8"/>
  <c r="C24" i="8"/>
  <c r="B24" i="8"/>
  <c r="D24" i="8" s="1"/>
  <c r="B23" i="8"/>
  <c r="B22" i="8"/>
  <c r="E21" i="8"/>
  <c r="D21" i="8"/>
  <c r="B21" i="8"/>
  <c r="C21" i="8" s="1"/>
  <c r="E20" i="8"/>
  <c r="D20" i="8"/>
  <c r="B20" i="8"/>
  <c r="C20" i="8" s="1"/>
  <c r="B19" i="8"/>
  <c r="E18" i="8"/>
  <c r="D18" i="8"/>
  <c r="C18" i="8"/>
  <c r="F18" i="8" s="1"/>
  <c r="B18" i="8"/>
  <c r="D17" i="8"/>
  <c r="C17" i="8"/>
  <c r="B17" i="8"/>
  <c r="E17" i="8" s="1"/>
  <c r="E16" i="8"/>
  <c r="C16" i="8"/>
  <c r="B16" i="8"/>
  <c r="D16" i="8" s="1"/>
  <c r="B15" i="8"/>
  <c r="B14" i="8"/>
  <c r="E13" i="8"/>
  <c r="D13" i="8"/>
  <c r="B13" i="8"/>
  <c r="C13" i="8" s="1"/>
  <c r="E12" i="8"/>
  <c r="D12" i="8"/>
  <c r="B12" i="8"/>
  <c r="C12" i="8" s="1"/>
  <c r="B11" i="8"/>
  <c r="E10" i="8"/>
  <c r="D10" i="8"/>
  <c r="C10" i="8"/>
  <c r="F10" i="8" s="1"/>
  <c r="B10" i="8"/>
  <c r="D9" i="8"/>
  <c r="C9" i="8"/>
  <c r="B9" i="8"/>
  <c r="E9" i="8" s="1"/>
  <c r="E8" i="8"/>
  <c r="C8" i="8"/>
  <c r="B8" i="8"/>
  <c r="D8" i="8" s="1"/>
  <c r="B7" i="8"/>
  <c r="B6" i="8"/>
  <c r="E5" i="8"/>
  <c r="D5" i="8"/>
  <c r="B5" i="8"/>
  <c r="C5" i="8" s="1"/>
  <c r="C58" i="7"/>
  <c r="C57" i="7"/>
  <c r="F55" i="7"/>
  <c r="E55" i="7"/>
  <c r="D55" i="7"/>
  <c r="C55" i="7"/>
  <c r="B55" i="7"/>
  <c r="E54" i="7"/>
  <c r="D54" i="7"/>
  <c r="C54" i="7"/>
  <c r="B54" i="7"/>
  <c r="E53" i="7"/>
  <c r="B53" i="7"/>
  <c r="D53" i="7" s="1"/>
  <c r="E52" i="7"/>
  <c r="B52" i="7"/>
  <c r="C51" i="7"/>
  <c r="B51" i="7"/>
  <c r="E50" i="7"/>
  <c r="D50" i="7"/>
  <c r="B50" i="7"/>
  <c r="C50" i="7" s="1"/>
  <c r="F50" i="7" s="1"/>
  <c r="E49" i="7"/>
  <c r="D49" i="7"/>
  <c r="B49" i="7"/>
  <c r="C49" i="7" s="1"/>
  <c r="B48" i="7"/>
  <c r="F47" i="7"/>
  <c r="E47" i="7"/>
  <c r="D47" i="7"/>
  <c r="C47" i="7"/>
  <c r="B47" i="7"/>
  <c r="E46" i="7"/>
  <c r="D46" i="7"/>
  <c r="C46" i="7"/>
  <c r="B46" i="7"/>
  <c r="E45" i="7"/>
  <c r="B45" i="7"/>
  <c r="D45" i="7" s="1"/>
  <c r="E44" i="7"/>
  <c r="B44" i="7"/>
  <c r="C43" i="7"/>
  <c r="B43" i="7"/>
  <c r="E42" i="7"/>
  <c r="D42" i="7"/>
  <c r="B42" i="7"/>
  <c r="C42" i="7" s="1"/>
  <c r="F42" i="7" s="1"/>
  <c r="E41" i="7"/>
  <c r="D41" i="7"/>
  <c r="B41" i="7"/>
  <c r="C41" i="7" s="1"/>
  <c r="B40" i="7"/>
  <c r="F39" i="7"/>
  <c r="E39" i="7"/>
  <c r="D39" i="7"/>
  <c r="C39" i="7"/>
  <c r="B39" i="7"/>
  <c r="E38" i="7"/>
  <c r="D38" i="7"/>
  <c r="C38" i="7"/>
  <c r="B38" i="7"/>
  <c r="E37" i="7"/>
  <c r="B37" i="7"/>
  <c r="D37" i="7" s="1"/>
  <c r="E36" i="7"/>
  <c r="B36" i="7"/>
  <c r="C35" i="7"/>
  <c r="B35" i="7"/>
  <c r="E34" i="7"/>
  <c r="D34" i="7"/>
  <c r="B34" i="7"/>
  <c r="C34" i="7" s="1"/>
  <c r="F34" i="7" s="1"/>
  <c r="E33" i="7"/>
  <c r="D33" i="7"/>
  <c r="B33" i="7"/>
  <c r="C33" i="7" s="1"/>
  <c r="B32" i="7"/>
  <c r="F31" i="7"/>
  <c r="E31" i="7"/>
  <c r="D31" i="7"/>
  <c r="C31" i="7"/>
  <c r="B31" i="7"/>
  <c r="E30" i="7"/>
  <c r="D30" i="7"/>
  <c r="C30" i="7"/>
  <c r="B30" i="7"/>
  <c r="E29" i="7"/>
  <c r="B29" i="7"/>
  <c r="D29" i="7" s="1"/>
  <c r="E28" i="7"/>
  <c r="B28" i="7"/>
  <c r="C27" i="7"/>
  <c r="B27" i="7"/>
  <c r="E26" i="7"/>
  <c r="D26" i="7"/>
  <c r="B26" i="7"/>
  <c r="C26" i="7" s="1"/>
  <c r="F26" i="7" s="1"/>
  <c r="E25" i="7"/>
  <c r="D25" i="7"/>
  <c r="B25" i="7"/>
  <c r="C25" i="7" s="1"/>
  <c r="B24" i="7"/>
  <c r="F23" i="7"/>
  <c r="E23" i="7"/>
  <c r="D23" i="7"/>
  <c r="C23" i="7"/>
  <c r="B23" i="7"/>
  <c r="E22" i="7"/>
  <c r="D22" i="7"/>
  <c r="C22" i="7"/>
  <c r="B22" i="7"/>
  <c r="E21" i="7"/>
  <c r="B21" i="7"/>
  <c r="D21" i="7" s="1"/>
  <c r="E20" i="7"/>
  <c r="B20" i="7"/>
  <c r="C19" i="7"/>
  <c r="B19" i="7"/>
  <c r="E18" i="7"/>
  <c r="D18" i="7"/>
  <c r="B18" i="7"/>
  <c r="C18" i="7" s="1"/>
  <c r="F18" i="7" s="1"/>
  <c r="E17" i="7"/>
  <c r="D17" i="7"/>
  <c r="B17" i="7"/>
  <c r="C17" i="7" s="1"/>
  <c r="B16" i="7"/>
  <c r="F15" i="7"/>
  <c r="E15" i="7"/>
  <c r="D15" i="7"/>
  <c r="C15" i="7"/>
  <c r="B15" i="7"/>
  <c r="E14" i="7"/>
  <c r="D14" i="7"/>
  <c r="C14" i="7"/>
  <c r="B14" i="7"/>
  <c r="E13" i="7"/>
  <c r="C13" i="7"/>
  <c r="B13" i="7"/>
  <c r="D13" i="7" s="1"/>
  <c r="F13" i="7" s="1"/>
  <c r="B12" i="7"/>
  <c r="C11" i="7"/>
  <c r="B11" i="7"/>
  <c r="E10" i="7"/>
  <c r="D10" i="7"/>
  <c r="B10" i="7"/>
  <c r="C10" i="7" s="1"/>
  <c r="F10" i="7" s="1"/>
  <c r="E9" i="7"/>
  <c r="D9" i="7"/>
  <c r="B9" i="7"/>
  <c r="C9" i="7" s="1"/>
  <c r="B8" i="7"/>
  <c r="F7" i="7"/>
  <c r="E7" i="7"/>
  <c r="D7" i="7"/>
  <c r="C7" i="7"/>
  <c r="B7" i="7"/>
  <c r="E6" i="7"/>
  <c r="D6" i="7"/>
  <c r="C6" i="7"/>
  <c r="B6" i="7"/>
  <c r="E5" i="7"/>
  <c r="B5" i="7"/>
  <c r="D5" i="7" s="1"/>
  <c r="C58" i="6"/>
  <c r="C57" i="6"/>
  <c r="E55" i="6"/>
  <c r="D55" i="6"/>
  <c r="B55" i="6"/>
  <c r="C55" i="6" s="1"/>
  <c r="E54" i="6"/>
  <c r="D54" i="6"/>
  <c r="B54" i="6"/>
  <c r="C54" i="6" s="1"/>
  <c r="B53" i="6"/>
  <c r="D52" i="6"/>
  <c r="C52" i="6"/>
  <c r="F52" i="6" s="1"/>
  <c r="B52" i="6"/>
  <c r="E52" i="6" s="1"/>
  <c r="E51" i="6"/>
  <c r="D51" i="6"/>
  <c r="C51" i="6"/>
  <c r="F51" i="6" s="1"/>
  <c r="B51" i="6"/>
  <c r="E50" i="6"/>
  <c r="B50" i="6"/>
  <c r="D50" i="6" s="1"/>
  <c r="E49" i="6"/>
  <c r="B49" i="6"/>
  <c r="B48" i="6"/>
  <c r="E47" i="6"/>
  <c r="D47" i="6"/>
  <c r="B47" i="6"/>
  <c r="C47" i="6" s="1"/>
  <c r="F47" i="6" s="1"/>
  <c r="E46" i="6"/>
  <c r="D46" i="6"/>
  <c r="B46" i="6"/>
  <c r="C46" i="6" s="1"/>
  <c r="B45" i="6"/>
  <c r="D44" i="6"/>
  <c r="C44" i="6"/>
  <c r="B44" i="6"/>
  <c r="E44" i="6" s="1"/>
  <c r="E43" i="6"/>
  <c r="D43" i="6"/>
  <c r="C43" i="6"/>
  <c r="B43" i="6"/>
  <c r="E42" i="6"/>
  <c r="B42" i="6"/>
  <c r="D42" i="6" s="1"/>
  <c r="E41" i="6"/>
  <c r="B41" i="6"/>
  <c r="C40" i="6"/>
  <c r="B40" i="6"/>
  <c r="E39" i="6"/>
  <c r="D39" i="6"/>
  <c r="B39" i="6"/>
  <c r="C39" i="6" s="1"/>
  <c r="F39" i="6" s="1"/>
  <c r="D38" i="6"/>
  <c r="B38" i="6"/>
  <c r="C38" i="6" s="1"/>
  <c r="B37" i="6"/>
  <c r="D36" i="6"/>
  <c r="C36" i="6"/>
  <c r="B36" i="6"/>
  <c r="E36" i="6" s="1"/>
  <c r="E35" i="6"/>
  <c r="D35" i="6"/>
  <c r="C35" i="6"/>
  <c r="B35" i="6"/>
  <c r="B34" i="6"/>
  <c r="C33" i="6"/>
  <c r="B33" i="6"/>
  <c r="D33" i="6" s="1"/>
  <c r="D32" i="6"/>
  <c r="B32" i="6"/>
  <c r="E31" i="6"/>
  <c r="D31" i="6"/>
  <c r="B31" i="6"/>
  <c r="C31" i="6" s="1"/>
  <c r="E30" i="6"/>
  <c r="D30" i="6"/>
  <c r="F30" i="6" s="1"/>
  <c r="B30" i="6"/>
  <c r="C30" i="6" s="1"/>
  <c r="B29" i="6"/>
  <c r="D28" i="6"/>
  <c r="C28" i="6"/>
  <c r="F28" i="6" s="1"/>
  <c r="B28" i="6"/>
  <c r="E28" i="6" s="1"/>
  <c r="E27" i="6"/>
  <c r="D27" i="6"/>
  <c r="C27" i="6"/>
  <c r="B27" i="6"/>
  <c r="E26" i="6"/>
  <c r="C26" i="6"/>
  <c r="F26" i="6" s="1"/>
  <c r="B26" i="6"/>
  <c r="D26" i="6" s="1"/>
  <c r="B25" i="6"/>
  <c r="D25" i="6" s="1"/>
  <c r="E24" i="6"/>
  <c r="D24" i="6"/>
  <c r="C24" i="6"/>
  <c r="F24" i="6" s="1"/>
  <c r="B24" i="6"/>
  <c r="E23" i="6"/>
  <c r="B23" i="6"/>
  <c r="C23" i="6" s="1"/>
  <c r="B22" i="6"/>
  <c r="C22" i="6" s="1"/>
  <c r="D21" i="6"/>
  <c r="C21" i="6"/>
  <c r="F21" i="6" s="1"/>
  <c r="B21" i="6"/>
  <c r="E21" i="6" s="1"/>
  <c r="D20" i="6"/>
  <c r="B20" i="6"/>
  <c r="E20" i="6" s="1"/>
  <c r="E19" i="6"/>
  <c r="D19" i="6"/>
  <c r="C19" i="6"/>
  <c r="B19" i="6"/>
  <c r="E18" i="6"/>
  <c r="B18" i="6"/>
  <c r="C18" i="6" s="1"/>
  <c r="F17" i="6"/>
  <c r="E17" i="6"/>
  <c r="C17" i="6"/>
  <c r="B17" i="6"/>
  <c r="D17" i="6" s="1"/>
  <c r="E16" i="6"/>
  <c r="B16" i="6"/>
  <c r="D16" i="6" s="1"/>
  <c r="E15" i="6"/>
  <c r="D15" i="6"/>
  <c r="C15" i="6"/>
  <c r="B15" i="6"/>
  <c r="D14" i="6"/>
  <c r="B14" i="6"/>
  <c r="E13" i="6"/>
  <c r="D13" i="6"/>
  <c r="C13" i="6"/>
  <c r="F13" i="6" s="1"/>
  <c r="B13" i="6"/>
  <c r="C12" i="6"/>
  <c r="B12" i="6"/>
  <c r="E12" i="6" s="1"/>
  <c r="E11" i="6"/>
  <c r="D11" i="6"/>
  <c r="C11" i="6"/>
  <c r="F11" i="6" s="1"/>
  <c r="B11" i="6"/>
  <c r="B10" i="6"/>
  <c r="E10" i="6" s="1"/>
  <c r="E9" i="6"/>
  <c r="B9" i="6"/>
  <c r="B8" i="6"/>
  <c r="E8" i="6" s="1"/>
  <c r="E7" i="6"/>
  <c r="C7" i="6"/>
  <c r="F7" i="6" s="1"/>
  <c r="B7" i="6"/>
  <c r="D7" i="6" s="1"/>
  <c r="E6" i="6"/>
  <c r="B6" i="6"/>
  <c r="C6" i="6" s="1"/>
  <c r="F5" i="6"/>
  <c r="D5" i="6"/>
  <c r="C5" i="6"/>
  <c r="B5" i="6"/>
  <c r="E5" i="6" s="1"/>
  <c r="C58" i="5"/>
  <c r="C57" i="5"/>
  <c r="C55" i="5"/>
  <c r="B55" i="5"/>
  <c r="D55" i="5" s="1"/>
  <c r="C54" i="5"/>
  <c r="B54" i="5"/>
  <c r="E54" i="5" s="1"/>
  <c r="D53" i="5"/>
  <c r="C53" i="5"/>
  <c r="B53" i="5"/>
  <c r="E53" i="5" s="1"/>
  <c r="D52" i="5"/>
  <c r="B52" i="5"/>
  <c r="C52" i="5" s="1"/>
  <c r="E51" i="5"/>
  <c r="D51" i="5"/>
  <c r="C51" i="5"/>
  <c r="F51" i="5" s="1"/>
  <c r="B51" i="5"/>
  <c r="D50" i="5"/>
  <c r="B50" i="5"/>
  <c r="E50" i="5" s="1"/>
  <c r="F49" i="5"/>
  <c r="E49" i="5"/>
  <c r="D49" i="5"/>
  <c r="C49" i="5"/>
  <c r="B49" i="5"/>
  <c r="C48" i="5"/>
  <c r="B48" i="5"/>
  <c r="E48" i="5" s="1"/>
  <c r="B47" i="5"/>
  <c r="D47" i="5" s="1"/>
  <c r="D46" i="5"/>
  <c r="C46" i="5"/>
  <c r="B46" i="5"/>
  <c r="E46" i="5" s="1"/>
  <c r="C45" i="5"/>
  <c r="B45" i="5"/>
  <c r="E45" i="5" s="1"/>
  <c r="E44" i="5"/>
  <c r="D44" i="5"/>
  <c r="B44" i="5"/>
  <c r="C44" i="5" s="1"/>
  <c r="F44" i="5" s="1"/>
  <c r="D43" i="5"/>
  <c r="B43" i="5"/>
  <c r="E43" i="5" s="1"/>
  <c r="F42" i="5"/>
  <c r="D42" i="5"/>
  <c r="C42" i="5"/>
  <c r="B42" i="5"/>
  <c r="E42" i="5" s="1"/>
  <c r="E41" i="5"/>
  <c r="D41" i="5"/>
  <c r="C41" i="5"/>
  <c r="F41" i="5" s="1"/>
  <c r="B41" i="5"/>
  <c r="E40" i="5"/>
  <c r="B40" i="5"/>
  <c r="D40" i="5" s="1"/>
  <c r="C39" i="5"/>
  <c r="B39" i="5"/>
  <c r="D39" i="5" s="1"/>
  <c r="C38" i="5"/>
  <c r="B38" i="5"/>
  <c r="E38" i="5" s="1"/>
  <c r="D37" i="5"/>
  <c r="C37" i="5"/>
  <c r="B37" i="5"/>
  <c r="E37" i="5" s="1"/>
  <c r="D36" i="5"/>
  <c r="B36" i="5"/>
  <c r="C36" i="5" s="1"/>
  <c r="E35" i="5"/>
  <c r="D35" i="5"/>
  <c r="C35" i="5"/>
  <c r="F35" i="5" s="1"/>
  <c r="B35" i="5"/>
  <c r="D34" i="5"/>
  <c r="B34" i="5"/>
  <c r="E34" i="5" s="1"/>
  <c r="F33" i="5"/>
  <c r="E33" i="5"/>
  <c r="D33" i="5"/>
  <c r="C33" i="5"/>
  <c r="B33" i="5"/>
  <c r="C32" i="5"/>
  <c r="B32" i="5"/>
  <c r="E32" i="5" s="1"/>
  <c r="B31" i="5"/>
  <c r="D31" i="5" s="1"/>
  <c r="D30" i="5"/>
  <c r="C30" i="5"/>
  <c r="F30" i="5" s="1"/>
  <c r="B30" i="5"/>
  <c r="E30" i="5" s="1"/>
  <c r="C29" i="5"/>
  <c r="B29" i="5"/>
  <c r="E29" i="5" s="1"/>
  <c r="E28" i="5"/>
  <c r="D28" i="5"/>
  <c r="B28" i="5"/>
  <c r="C28" i="5" s="1"/>
  <c r="F28" i="5" s="1"/>
  <c r="D27" i="5"/>
  <c r="B27" i="5"/>
  <c r="E27" i="5" s="1"/>
  <c r="F26" i="5"/>
  <c r="D26" i="5"/>
  <c r="C26" i="5"/>
  <c r="B26" i="5"/>
  <c r="E26" i="5" s="1"/>
  <c r="E25" i="5"/>
  <c r="D25" i="5"/>
  <c r="C25" i="5"/>
  <c r="F25" i="5" s="1"/>
  <c r="B25" i="5"/>
  <c r="E24" i="5"/>
  <c r="B24" i="5"/>
  <c r="D24" i="5" s="1"/>
  <c r="C23" i="5"/>
  <c r="B23" i="5"/>
  <c r="D23" i="5" s="1"/>
  <c r="C22" i="5"/>
  <c r="B22" i="5"/>
  <c r="E22" i="5" s="1"/>
  <c r="D21" i="5"/>
  <c r="C21" i="5"/>
  <c r="B21" i="5"/>
  <c r="E21" i="5" s="1"/>
  <c r="D20" i="5"/>
  <c r="B20" i="5"/>
  <c r="C20" i="5" s="1"/>
  <c r="E19" i="5"/>
  <c r="D19" i="5"/>
  <c r="C19" i="5"/>
  <c r="F19" i="5" s="1"/>
  <c r="B19" i="5"/>
  <c r="D18" i="5"/>
  <c r="B18" i="5"/>
  <c r="E18" i="5" s="1"/>
  <c r="F17" i="5"/>
  <c r="E17" i="5"/>
  <c r="D17" i="5"/>
  <c r="C17" i="5"/>
  <c r="B17" i="5"/>
  <c r="C16" i="5"/>
  <c r="B16" i="5"/>
  <c r="E16" i="5" s="1"/>
  <c r="B15" i="5"/>
  <c r="D15" i="5" s="1"/>
  <c r="D14" i="5"/>
  <c r="C14" i="5"/>
  <c r="F14" i="5" s="1"/>
  <c r="B14" i="5"/>
  <c r="E14" i="5" s="1"/>
  <c r="C13" i="5"/>
  <c r="B13" i="5"/>
  <c r="E13" i="5" s="1"/>
  <c r="E12" i="5"/>
  <c r="D12" i="5"/>
  <c r="B12" i="5"/>
  <c r="C12" i="5" s="1"/>
  <c r="F12" i="5" s="1"/>
  <c r="D11" i="5"/>
  <c r="B11" i="5"/>
  <c r="E11" i="5" s="1"/>
  <c r="F10" i="5"/>
  <c r="D10" i="5"/>
  <c r="C10" i="5"/>
  <c r="B10" i="5"/>
  <c r="E10" i="5" s="1"/>
  <c r="E9" i="5"/>
  <c r="D9" i="5"/>
  <c r="C9" i="5"/>
  <c r="F9" i="5" s="1"/>
  <c r="B9" i="5"/>
  <c r="E8" i="5"/>
  <c r="B8" i="5"/>
  <c r="D8" i="5" s="1"/>
  <c r="C7" i="5"/>
  <c r="B7" i="5"/>
  <c r="D7" i="5" s="1"/>
  <c r="C6" i="5"/>
  <c r="B6" i="5"/>
  <c r="E6" i="5" s="1"/>
  <c r="D5" i="5"/>
  <c r="C5" i="5"/>
  <c r="B5" i="5"/>
  <c r="E5" i="5" s="1"/>
  <c r="C58" i="4"/>
  <c r="C57" i="4"/>
  <c r="B55" i="4"/>
  <c r="E55" i="4" s="1"/>
  <c r="F54" i="4"/>
  <c r="E54" i="4"/>
  <c r="D54" i="4"/>
  <c r="C54" i="4"/>
  <c r="B54" i="4"/>
  <c r="D53" i="4"/>
  <c r="C53" i="4"/>
  <c r="F53" i="4" s="1"/>
  <c r="B53" i="4"/>
  <c r="E53" i="4" s="1"/>
  <c r="C52" i="4"/>
  <c r="B52" i="4"/>
  <c r="D52" i="4" s="1"/>
  <c r="E51" i="4"/>
  <c r="D51" i="4"/>
  <c r="C51" i="4"/>
  <c r="F51" i="4" s="1"/>
  <c r="B51" i="4"/>
  <c r="D50" i="4"/>
  <c r="B50" i="4"/>
  <c r="E50" i="4" s="1"/>
  <c r="F49" i="4"/>
  <c r="E49" i="4"/>
  <c r="D49" i="4"/>
  <c r="B49" i="4"/>
  <c r="C49" i="4" s="1"/>
  <c r="B48" i="4"/>
  <c r="E48" i="4" s="1"/>
  <c r="F47" i="4"/>
  <c r="D47" i="4"/>
  <c r="C47" i="4"/>
  <c r="B47" i="4"/>
  <c r="E47" i="4" s="1"/>
  <c r="E46" i="4"/>
  <c r="D46" i="4"/>
  <c r="C46" i="4"/>
  <c r="F46" i="4" s="1"/>
  <c r="B46" i="4"/>
  <c r="C45" i="4"/>
  <c r="B45" i="4"/>
  <c r="E45" i="4" s="1"/>
  <c r="E44" i="4"/>
  <c r="C44" i="4"/>
  <c r="F44" i="4" s="1"/>
  <c r="B44" i="4"/>
  <c r="D44" i="4" s="1"/>
  <c r="D43" i="4"/>
  <c r="B43" i="4"/>
  <c r="E43" i="4" s="1"/>
  <c r="E42" i="4"/>
  <c r="D42" i="4"/>
  <c r="C42" i="4"/>
  <c r="B42" i="4"/>
  <c r="E41" i="4"/>
  <c r="B41" i="4"/>
  <c r="C41" i="4" s="1"/>
  <c r="F40" i="4"/>
  <c r="E40" i="4"/>
  <c r="D40" i="4"/>
  <c r="C40" i="4"/>
  <c r="B40" i="4"/>
  <c r="B39" i="4"/>
  <c r="E39" i="4" s="1"/>
  <c r="F38" i="4"/>
  <c r="E38" i="4"/>
  <c r="D38" i="4"/>
  <c r="C38" i="4"/>
  <c r="B38" i="4"/>
  <c r="D37" i="4"/>
  <c r="C37" i="4"/>
  <c r="F37" i="4" s="1"/>
  <c r="B37" i="4"/>
  <c r="E37" i="4" s="1"/>
  <c r="C36" i="4"/>
  <c r="B36" i="4"/>
  <c r="D36" i="4" s="1"/>
  <c r="E35" i="4"/>
  <c r="D35" i="4"/>
  <c r="C35" i="4"/>
  <c r="F35" i="4" s="1"/>
  <c r="B35" i="4"/>
  <c r="D34" i="4"/>
  <c r="B34" i="4"/>
  <c r="E34" i="4" s="1"/>
  <c r="F33" i="4"/>
  <c r="E33" i="4"/>
  <c r="D33" i="4"/>
  <c r="B33" i="4"/>
  <c r="C33" i="4" s="1"/>
  <c r="B32" i="4"/>
  <c r="E32" i="4" s="1"/>
  <c r="F31" i="4"/>
  <c r="D31" i="4"/>
  <c r="C31" i="4"/>
  <c r="B31" i="4"/>
  <c r="E31" i="4" s="1"/>
  <c r="E30" i="4"/>
  <c r="D30" i="4"/>
  <c r="C30" i="4"/>
  <c r="F30" i="4" s="1"/>
  <c r="B30" i="4"/>
  <c r="C29" i="4"/>
  <c r="B29" i="4"/>
  <c r="E29" i="4" s="1"/>
  <c r="E28" i="4"/>
  <c r="C28" i="4"/>
  <c r="F28" i="4" s="1"/>
  <c r="B28" i="4"/>
  <c r="D28" i="4" s="1"/>
  <c r="D27" i="4"/>
  <c r="B27" i="4"/>
  <c r="E27" i="4" s="1"/>
  <c r="E26" i="4"/>
  <c r="D26" i="4"/>
  <c r="C26" i="4"/>
  <c r="B26" i="4"/>
  <c r="E25" i="4"/>
  <c r="B25" i="4"/>
  <c r="C25" i="4" s="1"/>
  <c r="F24" i="4"/>
  <c r="E24" i="4"/>
  <c r="D24" i="4"/>
  <c r="C24" i="4"/>
  <c r="B24" i="4"/>
  <c r="B23" i="4"/>
  <c r="E23" i="4" s="1"/>
  <c r="F22" i="4"/>
  <c r="E22" i="4"/>
  <c r="D22" i="4"/>
  <c r="C22" i="4"/>
  <c r="B22" i="4"/>
  <c r="D21" i="4"/>
  <c r="C21" i="4"/>
  <c r="F21" i="4" s="1"/>
  <c r="B21" i="4"/>
  <c r="E21" i="4" s="1"/>
  <c r="C20" i="4"/>
  <c r="B20" i="4"/>
  <c r="D20" i="4" s="1"/>
  <c r="E19" i="4"/>
  <c r="D19" i="4"/>
  <c r="C19" i="4"/>
  <c r="F19" i="4" s="1"/>
  <c r="B19" i="4"/>
  <c r="D18" i="4"/>
  <c r="B18" i="4"/>
  <c r="E18" i="4" s="1"/>
  <c r="F17" i="4"/>
  <c r="E17" i="4"/>
  <c r="D17" i="4"/>
  <c r="B17" i="4"/>
  <c r="C17" i="4" s="1"/>
  <c r="B16" i="4"/>
  <c r="E16" i="4" s="1"/>
  <c r="F15" i="4"/>
  <c r="D15" i="4"/>
  <c r="C15" i="4"/>
  <c r="B15" i="4"/>
  <c r="E15" i="4" s="1"/>
  <c r="E14" i="4"/>
  <c r="D14" i="4"/>
  <c r="C14" i="4"/>
  <c r="F14" i="4" s="1"/>
  <c r="B14" i="4"/>
  <c r="C13" i="4"/>
  <c r="B13" i="4"/>
  <c r="E13" i="4" s="1"/>
  <c r="E12" i="4"/>
  <c r="C12" i="4"/>
  <c r="F12" i="4" s="1"/>
  <c r="B12" i="4"/>
  <c r="D12" i="4" s="1"/>
  <c r="D11" i="4"/>
  <c r="B11" i="4"/>
  <c r="E11" i="4" s="1"/>
  <c r="E10" i="4"/>
  <c r="D10" i="4"/>
  <c r="C10" i="4"/>
  <c r="B10" i="4"/>
  <c r="B9" i="4"/>
  <c r="E9" i="4" s="1"/>
  <c r="E8" i="4"/>
  <c r="B8" i="4"/>
  <c r="D8" i="4" s="1"/>
  <c r="D7" i="4"/>
  <c r="C7" i="4"/>
  <c r="B7" i="4"/>
  <c r="E7" i="4" s="1"/>
  <c r="D6" i="4"/>
  <c r="B6" i="4"/>
  <c r="E6" i="4" s="1"/>
  <c r="F5" i="4"/>
  <c r="E5" i="4"/>
  <c r="D5" i="4"/>
  <c r="C5" i="4"/>
  <c r="B5" i="4"/>
  <c r="E19" i="2"/>
  <c r="C19" i="2"/>
  <c r="B19" i="2"/>
  <c r="C18" i="2"/>
  <c r="E17" i="2"/>
  <c r="C17" i="2"/>
  <c r="B17" i="2"/>
  <c r="E16" i="2"/>
  <c r="E15" i="2"/>
  <c r="C15" i="2"/>
  <c r="B15" i="2"/>
  <c r="E12" i="2"/>
  <c r="E20" i="2" s="1"/>
  <c r="D12" i="2"/>
  <c r="D19" i="2" s="1"/>
  <c r="C12" i="2"/>
  <c r="C20" i="2" s="1"/>
  <c r="B12" i="2"/>
  <c r="B20" i="2" s="1"/>
  <c r="F46" i="5" l="1"/>
  <c r="F7" i="4"/>
  <c r="D16" i="2"/>
  <c r="D18" i="2"/>
  <c r="D20" i="2"/>
  <c r="F10" i="4"/>
  <c r="F26" i="4"/>
  <c r="F42" i="4"/>
  <c r="F15" i="6"/>
  <c r="F19" i="6"/>
  <c r="F35" i="6"/>
  <c r="D7" i="8"/>
  <c r="C7" i="8"/>
  <c r="F12" i="8"/>
  <c r="D15" i="8"/>
  <c r="C15" i="8"/>
  <c r="F15" i="8" s="1"/>
  <c r="F20" i="8"/>
  <c r="D23" i="8"/>
  <c r="C23" i="8"/>
  <c r="F23" i="8" s="1"/>
  <c r="F28" i="8"/>
  <c r="D39" i="8"/>
  <c r="C39" i="8"/>
  <c r="E9" i="9"/>
  <c r="D9" i="9"/>
  <c r="C9" i="9"/>
  <c r="F9" i="9" s="1"/>
  <c r="D18" i="9"/>
  <c r="C18" i="9"/>
  <c r="F5" i="5"/>
  <c r="F21" i="5"/>
  <c r="F37" i="5"/>
  <c r="F53" i="5"/>
  <c r="D41" i="6"/>
  <c r="C41" i="6"/>
  <c r="F55" i="6"/>
  <c r="F6" i="7"/>
  <c r="E8" i="7"/>
  <c r="D8" i="7"/>
  <c r="C8" i="7"/>
  <c r="E11" i="7"/>
  <c r="D11" i="7"/>
  <c r="F14" i="7"/>
  <c r="E16" i="7"/>
  <c r="D16" i="7"/>
  <c r="C16" i="7"/>
  <c r="E19" i="7"/>
  <c r="F19" i="7" s="1"/>
  <c r="D19" i="7"/>
  <c r="F22" i="7"/>
  <c r="E24" i="7"/>
  <c r="D24" i="7"/>
  <c r="C24" i="7"/>
  <c r="E27" i="7"/>
  <c r="D27" i="7"/>
  <c r="F30" i="7"/>
  <c r="E32" i="7"/>
  <c r="D32" i="7"/>
  <c r="C32" i="7"/>
  <c r="E35" i="7"/>
  <c r="D35" i="7"/>
  <c r="F38" i="7"/>
  <c r="E40" i="7"/>
  <c r="D40" i="7"/>
  <c r="C40" i="7"/>
  <c r="E43" i="7"/>
  <c r="F43" i="7" s="1"/>
  <c r="D43" i="7"/>
  <c r="F46" i="7"/>
  <c r="E48" i="7"/>
  <c r="D48" i="7"/>
  <c r="C48" i="7"/>
  <c r="E51" i="7"/>
  <c r="D51" i="7"/>
  <c r="F51" i="7" s="1"/>
  <c r="F54" i="7"/>
  <c r="E7" i="8"/>
  <c r="E15" i="8"/>
  <c r="E23" i="8"/>
  <c r="D31" i="8"/>
  <c r="C31" i="8"/>
  <c r="E39" i="8"/>
  <c r="D10" i="9"/>
  <c r="C10" i="9"/>
  <c r="E18" i="9"/>
  <c r="C16" i="2"/>
  <c r="C7" i="3" s="1"/>
  <c r="E18" i="2"/>
  <c r="E21" i="2" s="1"/>
  <c r="C9" i="3"/>
  <c r="D9" i="3"/>
  <c r="F11" i="7"/>
  <c r="F27" i="7"/>
  <c r="F35" i="7"/>
  <c r="C9" i="4"/>
  <c r="C16" i="4"/>
  <c r="F16" i="4" s="1"/>
  <c r="C23" i="4"/>
  <c r="F23" i="4" s="1"/>
  <c r="C32" i="4"/>
  <c r="C39" i="4"/>
  <c r="C48" i="4"/>
  <c r="C55" i="4"/>
  <c r="E7" i="5"/>
  <c r="F7" i="5" s="1"/>
  <c r="D16" i="5"/>
  <c r="F16" i="5" s="1"/>
  <c r="E23" i="5"/>
  <c r="F23" i="5" s="1"/>
  <c r="D32" i="5"/>
  <c r="F32" i="5" s="1"/>
  <c r="E39" i="5"/>
  <c r="F39" i="5" s="1"/>
  <c r="D48" i="5"/>
  <c r="F48" i="5" s="1"/>
  <c r="E55" i="5"/>
  <c r="F55" i="5" s="1"/>
  <c r="C8" i="6"/>
  <c r="C10" i="6"/>
  <c r="D22" i="6"/>
  <c r="F22" i="6" s="1"/>
  <c r="E33" i="6"/>
  <c r="F33" i="6" s="1"/>
  <c r="E38" i="6"/>
  <c r="F38" i="6" s="1"/>
  <c r="F44" i="6"/>
  <c r="F9" i="7"/>
  <c r="D12" i="7"/>
  <c r="C12" i="7"/>
  <c r="E12" i="7"/>
  <c r="E51" i="8"/>
  <c r="D51" i="8"/>
  <c r="C51" i="8"/>
  <c r="F51" i="8" s="1"/>
  <c r="C21" i="2"/>
  <c r="D15" i="2"/>
  <c r="D17" i="2"/>
  <c r="B7" i="3"/>
  <c r="B15" i="3"/>
  <c r="C6" i="4"/>
  <c r="F6" i="4" s="1"/>
  <c r="D9" i="4"/>
  <c r="C11" i="4"/>
  <c r="F11" i="4" s="1"/>
  <c r="D16" i="4"/>
  <c r="C18" i="4"/>
  <c r="F18" i="4" s="1"/>
  <c r="D23" i="4"/>
  <c r="D25" i="4"/>
  <c r="F25" i="4" s="1"/>
  <c r="C27" i="4"/>
  <c r="F27" i="4" s="1"/>
  <c r="D32" i="4"/>
  <c r="C34" i="4"/>
  <c r="F34" i="4" s="1"/>
  <c r="D39" i="4"/>
  <c r="D41" i="4"/>
  <c r="F41" i="4" s="1"/>
  <c r="C43" i="4"/>
  <c r="F43" i="4" s="1"/>
  <c r="D48" i="4"/>
  <c r="C50" i="4"/>
  <c r="F50" i="4" s="1"/>
  <c r="D55" i="4"/>
  <c r="C11" i="5"/>
  <c r="F11" i="5" s="1"/>
  <c r="C18" i="5"/>
  <c r="F18" i="5" s="1"/>
  <c r="C27" i="5"/>
  <c r="F27" i="5" s="1"/>
  <c r="C34" i="5"/>
  <c r="F34" i="5" s="1"/>
  <c r="C43" i="5"/>
  <c r="F43" i="5" s="1"/>
  <c r="C50" i="5"/>
  <c r="F50" i="5" s="1"/>
  <c r="D6" i="6"/>
  <c r="F6" i="6" s="1"/>
  <c r="D8" i="6"/>
  <c r="D10" i="6"/>
  <c r="C14" i="6"/>
  <c r="E14" i="6"/>
  <c r="C16" i="6"/>
  <c r="F16" i="6" s="1"/>
  <c r="D18" i="6"/>
  <c r="F18" i="6" s="1"/>
  <c r="C20" i="6"/>
  <c r="F20" i="6" s="1"/>
  <c r="E22" i="6"/>
  <c r="F31" i="6"/>
  <c r="F36" i="6"/>
  <c r="E43" i="8"/>
  <c r="D43" i="8"/>
  <c r="C43" i="8"/>
  <c r="F49" i="8"/>
  <c r="E54" i="8"/>
  <c r="D54" i="8"/>
  <c r="E30" i="9"/>
  <c r="D30" i="9"/>
  <c r="C30" i="9"/>
  <c r="F30" i="9" s="1"/>
  <c r="E33" i="9"/>
  <c r="D33" i="9"/>
  <c r="C33" i="9"/>
  <c r="F12" i="6"/>
  <c r="E29" i="6"/>
  <c r="D29" i="6"/>
  <c r="D34" i="6"/>
  <c r="C34" i="6"/>
  <c r="E45" i="6"/>
  <c r="D45" i="6"/>
  <c r="C45" i="6"/>
  <c r="E48" i="6"/>
  <c r="D48" i="6"/>
  <c r="E35" i="8"/>
  <c r="D35" i="8"/>
  <c r="C35" i="8"/>
  <c r="E46" i="8"/>
  <c r="D46" i="8"/>
  <c r="F54" i="8"/>
  <c r="C15" i="3"/>
  <c r="B16" i="2"/>
  <c r="B18" i="2"/>
  <c r="D7" i="3"/>
  <c r="C8" i="4"/>
  <c r="F8" i="4" s="1"/>
  <c r="D13" i="4"/>
  <c r="F13" i="4" s="1"/>
  <c r="E20" i="4"/>
  <c r="F20" i="4" s="1"/>
  <c r="D29" i="4"/>
  <c r="F29" i="4" s="1"/>
  <c r="E36" i="4"/>
  <c r="F36" i="4" s="1"/>
  <c r="D45" i="4"/>
  <c r="F45" i="4" s="1"/>
  <c r="E52" i="4"/>
  <c r="F52" i="4" s="1"/>
  <c r="D6" i="5"/>
  <c r="F6" i="5" s="1"/>
  <c r="C8" i="5"/>
  <c r="F8" i="5" s="1"/>
  <c r="D13" i="5"/>
  <c r="F13" i="5" s="1"/>
  <c r="C15" i="5"/>
  <c r="E20" i="5"/>
  <c r="F20" i="5" s="1"/>
  <c r="D22" i="5"/>
  <c r="F22" i="5" s="1"/>
  <c r="C24" i="5"/>
  <c r="F24" i="5" s="1"/>
  <c r="D29" i="5"/>
  <c r="F29" i="5" s="1"/>
  <c r="C31" i="5"/>
  <c r="F31" i="5" s="1"/>
  <c r="E36" i="5"/>
  <c r="F36" i="5" s="1"/>
  <c r="D38" i="5"/>
  <c r="F38" i="5" s="1"/>
  <c r="C40" i="5"/>
  <c r="F40" i="5" s="1"/>
  <c r="D45" i="5"/>
  <c r="F45" i="5" s="1"/>
  <c r="C47" i="5"/>
  <c r="F47" i="5" s="1"/>
  <c r="E52" i="5"/>
  <c r="F52" i="5" s="1"/>
  <c r="D54" i="5"/>
  <c r="F54" i="5" s="1"/>
  <c r="D12" i="6"/>
  <c r="C25" i="6"/>
  <c r="F27" i="6"/>
  <c r="C29" i="6"/>
  <c r="E34" i="6"/>
  <c r="E37" i="6"/>
  <c r="D37" i="6"/>
  <c r="C48" i="6"/>
  <c r="F54" i="6"/>
  <c r="E6" i="8"/>
  <c r="D6" i="8"/>
  <c r="E11" i="8"/>
  <c r="D11" i="8"/>
  <c r="C11" i="8"/>
  <c r="F11" i="8" s="1"/>
  <c r="E14" i="8"/>
  <c r="D14" i="8"/>
  <c r="E19" i="8"/>
  <c r="D19" i="8"/>
  <c r="C19" i="8"/>
  <c r="E22" i="8"/>
  <c r="D22" i="8"/>
  <c r="E27" i="8"/>
  <c r="D27" i="8"/>
  <c r="C27" i="8"/>
  <c r="F33" i="8"/>
  <c r="E38" i="8"/>
  <c r="D38" i="8"/>
  <c r="F44" i="8"/>
  <c r="C46" i="8"/>
  <c r="F46" i="8" s="1"/>
  <c r="D55" i="8"/>
  <c r="C55" i="8"/>
  <c r="F23" i="9"/>
  <c r="E15" i="5"/>
  <c r="E31" i="5"/>
  <c r="E47" i="5"/>
  <c r="D9" i="6"/>
  <c r="C9" i="6"/>
  <c r="F9" i="6" s="1"/>
  <c r="D23" i="6"/>
  <c r="F23" i="6" s="1"/>
  <c r="E25" i="6"/>
  <c r="E32" i="6"/>
  <c r="C32" i="6"/>
  <c r="C37" i="6"/>
  <c r="E40" i="6"/>
  <c r="D40" i="6"/>
  <c r="F40" i="6" s="1"/>
  <c r="F43" i="6"/>
  <c r="F46" i="6"/>
  <c r="D49" i="6"/>
  <c r="C49" i="6"/>
  <c r="C6" i="8"/>
  <c r="F6" i="8" s="1"/>
  <c r="F9" i="8"/>
  <c r="C14" i="8"/>
  <c r="F17" i="8"/>
  <c r="C22" i="8"/>
  <c r="F22" i="8" s="1"/>
  <c r="F25" i="8"/>
  <c r="E30" i="8"/>
  <c r="D30" i="8"/>
  <c r="F30" i="8" s="1"/>
  <c r="F36" i="8"/>
  <c r="C38" i="8"/>
  <c r="F38" i="8" s="1"/>
  <c r="D47" i="8"/>
  <c r="C47" i="8"/>
  <c r="F47" i="8" s="1"/>
  <c r="E55" i="8"/>
  <c r="E17" i="9"/>
  <c r="D17" i="9"/>
  <c r="C17" i="9"/>
  <c r="E46" i="9"/>
  <c r="D46" i="9"/>
  <c r="C46" i="9"/>
  <c r="F46" i="9" s="1"/>
  <c r="E38" i="9"/>
  <c r="D38" i="9"/>
  <c r="C38" i="9"/>
  <c r="E41" i="9"/>
  <c r="F41" i="9" s="1"/>
  <c r="D41" i="9"/>
  <c r="F44" i="9"/>
  <c r="F47" i="9"/>
  <c r="E53" i="6"/>
  <c r="D53" i="6"/>
  <c r="C53" i="6"/>
  <c r="F17" i="7"/>
  <c r="D20" i="7"/>
  <c r="C20" i="7"/>
  <c r="F25" i="7"/>
  <c r="D28" i="7"/>
  <c r="C28" i="7"/>
  <c r="F28" i="7" s="1"/>
  <c r="F33" i="7"/>
  <c r="D36" i="7"/>
  <c r="C36" i="7"/>
  <c r="F41" i="7"/>
  <c r="D44" i="7"/>
  <c r="C44" i="7"/>
  <c r="F49" i="7"/>
  <c r="D52" i="7"/>
  <c r="C52" i="7"/>
  <c r="F52" i="7" s="1"/>
  <c r="F5" i="8"/>
  <c r="F8" i="8"/>
  <c r="F13" i="8"/>
  <c r="F16" i="8"/>
  <c r="F21" i="8"/>
  <c r="F24" i="8"/>
  <c r="E6" i="9"/>
  <c r="D6" i="9"/>
  <c r="C6" i="9"/>
  <c r="E14" i="9"/>
  <c r="D14" i="9"/>
  <c r="C14" i="9"/>
  <c r="E22" i="9"/>
  <c r="D22" i="9"/>
  <c r="C22" i="9"/>
  <c r="F22" i="9" s="1"/>
  <c r="E25" i="9"/>
  <c r="D25" i="9"/>
  <c r="F25" i="9" s="1"/>
  <c r="F28" i="9"/>
  <c r="F31" i="9"/>
  <c r="F7" i="9"/>
  <c r="F15" i="9"/>
  <c r="E49" i="9"/>
  <c r="D49" i="9"/>
  <c r="F49" i="9" s="1"/>
  <c r="C26" i="9"/>
  <c r="F26" i="9" s="1"/>
  <c r="C34" i="9"/>
  <c r="F34" i="9" s="1"/>
  <c r="C42" i="9"/>
  <c r="F42" i="9" s="1"/>
  <c r="C50" i="9"/>
  <c r="F50" i="9" s="1"/>
  <c r="C55" i="9"/>
  <c r="F55" i="9" s="1"/>
  <c r="D55" i="9"/>
  <c r="C54" i="9"/>
  <c r="C42" i="6"/>
  <c r="F42" i="6" s="1"/>
  <c r="C50" i="6"/>
  <c r="F50" i="6" s="1"/>
  <c r="C5" i="7"/>
  <c r="F5" i="7" s="1"/>
  <c r="C21" i="7"/>
  <c r="F21" i="7" s="1"/>
  <c r="C29" i="7"/>
  <c r="F29" i="7" s="1"/>
  <c r="C37" i="7"/>
  <c r="F37" i="7" s="1"/>
  <c r="C45" i="7"/>
  <c r="F45" i="7" s="1"/>
  <c r="C53" i="7"/>
  <c r="F53" i="7" s="1"/>
  <c r="C32" i="8"/>
  <c r="F32" i="8" s="1"/>
  <c r="C40" i="8"/>
  <c r="F40" i="8" s="1"/>
  <c r="C48" i="8"/>
  <c r="F48" i="8" s="1"/>
  <c r="C11" i="9"/>
  <c r="F11" i="9" s="1"/>
  <c r="C19" i="9"/>
  <c r="F19" i="9" s="1"/>
  <c r="C27" i="9"/>
  <c r="F27" i="9" s="1"/>
  <c r="C35" i="9"/>
  <c r="F35" i="9" s="1"/>
  <c r="C43" i="9"/>
  <c r="F43" i="9" s="1"/>
  <c r="C51" i="9"/>
  <c r="F51" i="9" s="1"/>
  <c r="D54" i="9"/>
  <c r="F32" i="4" l="1"/>
  <c r="F10" i="9"/>
  <c r="F18" i="9"/>
  <c r="B17" i="3"/>
  <c r="D17" i="3"/>
  <c r="C6" i="3"/>
  <c r="F14" i="6"/>
  <c r="F40" i="7"/>
  <c r="F8" i="7"/>
  <c r="D14" i="3"/>
  <c r="B14" i="3"/>
  <c r="F54" i="9"/>
  <c r="F29" i="6"/>
  <c r="B9" i="3"/>
  <c r="D15" i="3"/>
  <c r="G15" i="3" s="1"/>
  <c r="F44" i="7"/>
  <c r="F37" i="6"/>
  <c r="F19" i="8"/>
  <c r="F15" i="5"/>
  <c r="F45" i="6"/>
  <c r="E15" i="3"/>
  <c r="F9" i="4"/>
  <c r="B21" i="2"/>
  <c r="F31" i="8"/>
  <c r="F48" i="7"/>
  <c r="F16" i="7"/>
  <c r="D6" i="3"/>
  <c r="F14" i="9"/>
  <c r="F20" i="7"/>
  <c r="F32" i="6"/>
  <c r="F25" i="6"/>
  <c r="G7" i="3"/>
  <c r="F7" i="3"/>
  <c r="E7" i="3"/>
  <c r="F10" i="6"/>
  <c r="F17" i="9"/>
  <c r="F49" i="6"/>
  <c r="F12" i="7"/>
  <c r="F8" i="6"/>
  <c r="F55" i="4"/>
  <c r="F24" i="7"/>
  <c r="C17" i="3"/>
  <c r="F39" i="8"/>
  <c r="F14" i="8"/>
  <c r="F36" i="7"/>
  <c r="F38" i="9"/>
  <c r="F27" i="8"/>
  <c r="F48" i="6"/>
  <c r="F35" i="8"/>
  <c r="F34" i="6"/>
  <c r="F33" i="9"/>
  <c r="D16" i="3"/>
  <c r="D8" i="3"/>
  <c r="D21" i="2"/>
  <c r="C16" i="3"/>
  <c r="C8" i="3"/>
  <c r="B16" i="3"/>
  <c r="B8" i="3"/>
  <c r="F48" i="4"/>
  <c r="F41" i="6"/>
  <c r="F6" i="9"/>
  <c r="F53" i="6"/>
  <c r="F55" i="8"/>
  <c r="B6" i="3"/>
  <c r="F43" i="8"/>
  <c r="F39" i="4"/>
  <c r="F32" i="7"/>
  <c r="F7" i="8"/>
  <c r="C14" i="3"/>
  <c r="F15" i="3" l="1"/>
  <c r="G9" i="3"/>
  <c r="F9" i="3"/>
  <c r="E9" i="3"/>
  <c r="G17" i="3"/>
  <c r="F17" i="3"/>
  <c r="E17" i="3"/>
  <c r="F8" i="3"/>
  <c r="E8" i="3"/>
  <c r="G8" i="3"/>
  <c r="G16" i="3"/>
  <c r="F16" i="3"/>
  <c r="E16" i="3"/>
  <c r="G14" i="3"/>
  <c r="F14" i="3"/>
  <c r="E14" i="3"/>
  <c r="G6" i="3"/>
  <c r="F6" i="3"/>
  <c r="E6" i="3"/>
</calcChain>
</file>

<file path=xl/sharedStrings.xml><?xml version="1.0" encoding="utf-8"?>
<sst xmlns="http://schemas.openxmlformats.org/spreadsheetml/2006/main" count="168" uniqueCount="74">
  <si>
    <t>MCDA Scoring Matrix — Table W.1 (Updated with Final MC)</t>
  </si>
  <si>
    <t>Blue cells = editable inputs. All scores 0-100, higher = better for Revolut. Results sheet auto-updates.</t>
  </si>
  <si>
    <t>T = 5 years (base case)</t>
  </si>
  <si>
    <t>#</t>
  </si>
  <si>
    <t>Criterion</t>
  </si>
  <si>
    <t>Dir</t>
  </si>
  <si>
    <t>Option A</t>
  </si>
  <si>
    <t>Option B</t>
  </si>
  <si>
    <t>Option C</t>
  </si>
  <si>
    <t>C1</t>
  </si>
  <si>
    <t>EMV at T=5</t>
  </si>
  <si>
    <t>Max</t>
  </si>
  <si>
    <t>C2</t>
  </si>
  <si>
    <t>Worst-case downside</t>
  </si>
  <si>
    <t>Min</t>
  </si>
  <si>
    <t>C3</t>
  </si>
  <si>
    <t>UK banking-licence risk</t>
  </si>
  <si>
    <t>C4</t>
  </si>
  <si>
    <t>Run-risk crisis exposure</t>
  </si>
  <si>
    <t>C5</t>
  </si>
  <si>
    <t>Reversibility</t>
  </si>
  <si>
    <t>C6</t>
  </si>
  <si>
    <t>Governance fit (TCE) + GBP opt.</t>
  </si>
  <si>
    <t>T = 7 years (post-crossover: C overtakes B on EMV at 6.1yr)</t>
  </si>
  <si>
    <t>At T=7, EMV(C)=€23.065m &gt; EMV(B)=€17.643m. C1 and C2 change; C3-C6 unchanged (not horizon-dependent).</t>
  </si>
  <si>
    <t>EMV at T=7</t>
  </si>
  <si>
    <t>Worst-case downside (T=7)</t>
  </si>
  <si>
    <t>Weight Profiles — SWING Elicitation</t>
  </si>
  <si>
    <t>Raw SWING ranks</t>
  </si>
  <si>
    <t>CFO</t>
  </si>
  <si>
    <t>CRO</t>
  </si>
  <si>
    <t>Strategy</t>
  </si>
  <si>
    <t>Balanced</t>
  </si>
  <si>
    <t>C1: EMV</t>
  </si>
  <si>
    <t>C2: Downside</t>
  </si>
  <si>
    <t>C3: UK licence</t>
  </si>
  <si>
    <t>C4: Run-risk</t>
  </si>
  <si>
    <t>C5: Reversibility</t>
  </si>
  <si>
    <t>C6: Governance+GBP</t>
  </si>
  <si>
    <t>Sum</t>
  </si>
  <si>
    <t>Normalised weights</t>
  </si>
  <si>
    <t>Sum (=1.0000)</t>
  </si>
  <si>
    <t>MCDA Weighted Scores</t>
  </si>
  <si>
    <t>All values = SUMPRODUCT(weights × scores). Auto-updates from Scores and Weights sheets.</t>
  </si>
  <si>
    <t>T = 5 years</t>
  </si>
  <si>
    <t>Profile</t>
  </si>
  <si>
    <t>Winner</t>
  </si>
  <si>
    <t>Margin</t>
  </si>
  <si>
    <t>2nd</t>
  </si>
  <si>
    <t>T = 7 years</t>
  </si>
  <si>
    <t>One-way Sensitivity: Weight on C1: EMV (T=5)</t>
  </si>
  <si>
    <t>Sweep w(C1) from 0→1. Other 5 weights = (1-w)/5 each. Closed-form thresholds at bottom.</t>
  </si>
  <si>
    <t>w(C1)</t>
  </si>
  <si>
    <t>Other(each)</t>
  </si>
  <si>
    <t>Leader</t>
  </si>
  <si>
    <t>Switchover (B = C):</t>
  </si>
  <si>
    <t>Switchover (A = C):</t>
  </si>
  <si>
    <t>Values outside [0,1] = no flip in feasible range. Negative = would need negative weight (impossible).</t>
  </si>
  <si>
    <t>One-way Sensitivity: Weight on C2: Downside (T=5)</t>
  </si>
  <si>
    <t>Sweep w(C2) from 0→1. Other 5 weights = (1-w)/5 each. Closed-form thresholds at bottom.</t>
  </si>
  <si>
    <t>w(C2)</t>
  </si>
  <si>
    <t>One-way Sensitivity: Weight on C3: UK licence (T=5)</t>
  </si>
  <si>
    <t>Sweep w(C3) from 0→1. Other 5 weights = (1-w)/5 each. Closed-form thresholds at bottom.</t>
  </si>
  <si>
    <t>w(C3)</t>
  </si>
  <si>
    <t>One-way Sensitivity: Weight on C4: Run-risk (T=5)</t>
  </si>
  <si>
    <t>Sweep w(C4) from 0→1. Other 5 weights = (1-w)/5 each. Closed-form thresholds at bottom.</t>
  </si>
  <si>
    <t>w(C4)</t>
  </si>
  <si>
    <t>One-way Sensitivity: Weight on C5: Reversibility (T=5)</t>
  </si>
  <si>
    <t>Sweep w(C5) from 0→1. Other 5 weights = (1-w)/5 each. Closed-form thresholds at bottom.</t>
  </si>
  <si>
    <t>w(C5)</t>
  </si>
  <si>
    <t>One-way Sensitivity: Weight on C6: Governance+GBP (T=5)</t>
  </si>
  <si>
    <t>Sweep w(C6) from 0→1. Other 5 weights = (1-w)/5 each. Closed-form thresholds at bottom.</t>
  </si>
  <si>
    <t>w(C6)</t>
  </si>
  <si>
    <t>SWING: rank criteria, top=100, rate others relative, normalise. Edit blue ranks; normalised weights auto-update.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</si>
</sst>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FFFE0"/>
        <bgColor rgb="FFFFFFFF"/>
      </patternFill>
    </fill>
    <fill>
      <patternFill patternType="solid">
        <fgColor rgb="FFE2EFDA"/>
        <b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" fontId="5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1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zoomScaleNormal="100" workbookViewId="0">
      <selection activeCell="G16" sqref="G16:H22"/>
    </sheetView>
  </sheetViews>
  <sheetFormatPr baseColWidth="10" defaultColWidth="8.6640625" defaultRowHeight="15" x14ac:dyDescent="0.2"/>
  <cols>
    <col min="1" max="1" width="6" customWidth="1"/>
    <col min="2" max="2" width="32" customWidth="1"/>
    <col min="3" max="3" width="6" customWidth="1"/>
    <col min="4" max="6" width="12" customWidth="1"/>
    <col min="7" max="7" width="42" customWidth="1"/>
    <col min="8" max="8" width="60" customWidth="1"/>
  </cols>
  <sheetData>
    <row r="1" spans="1:8" ht="18" x14ac:dyDescent="0.2">
      <c r="A1" s="4" t="s">
        <v>0</v>
      </c>
      <c r="B1" s="4"/>
      <c r="C1" s="4"/>
      <c r="D1" s="4"/>
      <c r="E1" s="4"/>
      <c r="F1" s="4"/>
      <c r="G1" s="4"/>
      <c r="H1" s="4"/>
    </row>
    <row r="2" spans="1:8" ht="15" customHeight="1" x14ac:dyDescent="0.2">
      <c r="A2" s="3" t="s">
        <v>1</v>
      </c>
      <c r="B2" s="3"/>
      <c r="C2" s="3"/>
      <c r="D2" s="3"/>
      <c r="E2" s="3"/>
      <c r="F2" s="3"/>
      <c r="G2" s="3"/>
      <c r="H2" s="3"/>
    </row>
    <row r="4" spans="1:8" x14ac:dyDescent="0.2">
      <c r="A4" s="5" t="s">
        <v>2</v>
      </c>
    </row>
    <row r="5" spans="1:8" x14ac:dyDescent="0.2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/>
      <c r="H5" s="6"/>
    </row>
    <row r="6" spans="1:8" ht="30" customHeight="1" x14ac:dyDescent="0.2">
      <c r="A6" s="7" t="s">
        <v>9</v>
      </c>
      <c r="B6" s="8" t="s">
        <v>10</v>
      </c>
      <c r="C6" s="7" t="s">
        <v>11</v>
      </c>
      <c r="D6" s="9">
        <v>0</v>
      </c>
      <c r="E6" s="9">
        <v>100</v>
      </c>
      <c r="F6" s="9">
        <v>47</v>
      </c>
      <c r="G6" s="8"/>
      <c r="H6" s="10"/>
    </row>
    <row r="7" spans="1:8" ht="30" customHeight="1" x14ac:dyDescent="0.2">
      <c r="A7" s="7" t="s">
        <v>12</v>
      </c>
      <c r="B7" s="8" t="s">
        <v>13</v>
      </c>
      <c r="C7" s="7" t="s">
        <v>14</v>
      </c>
      <c r="D7" s="9">
        <v>100</v>
      </c>
      <c r="E7" s="9">
        <v>0</v>
      </c>
      <c r="F7" s="9">
        <v>59</v>
      </c>
      <c r="G7" s="8"/>
      <c r="H7" s="10"/>
    </row>
    <row r="8" spans="1:8" ht="30" customHeight="1" x14ac:dyDescent="0.2">
      <c r="A8" s="7" t="s">
        <v>15</v>
      </c>
      <c r="B8" s="8" t="s">
        <v>16</v>
      </c>
      <c r="C8" s="7" t="s">
        <v>14</v>
      </c>
      <c r="D8" s="9">
        <v>85</v>
      </c>
      <c r="E8" s="9">
        <v>20</v>
      </c>
      <c r="F8" s="9">
        <v>45</v>
      </c>
      <c r="G8" s="8"/>
      <c r="H8" s="10"/>
    </row>
    <row r="9" spans="1:8" ht="30" customHeight="1" x14ac:dyDescent="0.2">
      <c r="A9" s="7" t="s">
        <v>17</v>
      </c>
      <c r="B9" s="8" t="s">
        <v>18</v>
      </c>
      <c r="C9" s="7" t="s">
        <v>14</v>
      </c>
      <c r="D9" s="9">
        <v>95</v>
      </c>
      <c r="E9" s="9">
        <v>20</v>
      </c>
      <c r="F9" s="9">
        <v>55</v>
      </c>
      <c r="G9" s="8"/>
      <c r="H9" s="10"/>
    </row>
    <row r="10" spans="1:8" ht="30" customHeight="1" x14ac:dyDescent="0.2">
      <c r="A10" s="7" t="s">
        <v>19</v>
      </c>
      <c r="B10" s="8" t="s">
        <v>20</v>
      </c>
      <c r="C10" s="7" t="s">
        <v>11</v>
      </c>
      <c r="D10" s="9">
        <v>95</v>
      </c>
      <c r="E10" s="9">
        <v>10</v>
      </c>
      <c r="F10" s="9">
        <v>75</v>
      </c>
      <c r="G10" s="8"/>
      <c r="H10" s="10"/>
    </row>
    <row r="11" spans="1:8" ht="30" customHeight="1" x14ac:dyDescent="0.2">
      <c r="A11" s="7" t="s">
        <v>21</v>
      </c>
      <c r="B11" s="8" t="s">
        <v>22</v>
      </c>
      <c r="C11" s="7" t="s">
        <v>11</v>
      </c>
      <c r="D11" s="9">
        <v>15</v>
      </c>
      <c r="E11" s="9">
        <v>55</v>
      </c>
      <c r="F11" s="9">
        <v>90</v>
      </c>
      <c r="G11" s="8"/>
      <c r="H11" s="10"/>
    </row>
    <row r="14" spans="1:8" x14ac:dyDescent="0.2">
      <c r="A14" s="2" t="s">
        <v>23</v>
      </c>
      <c r="B14" s="2"/>
      <c r="C14" s="2"/>
      <c r="D14" s="2"/>
      <c r="E14" s="2"/>
    </row>
    <row r="15" spans="1:8" ht="15" customHeight="1" x14ac:dyDescent="0.2">
      <c r="A15" s="3" t="s">
        <v>24</v>
      </c>
      <c r="B15" s="3"/>
      <c r="C15" s="3"/>
      <c r="D15" s="3"/>
      <c r="E15" s="3"/>
      <c r="F15" s="3"/>
      <c r="G15" s="3"/>
      <c r="H15" s="3"/>
    </row>
    <row r="16" spans="1:8" x14ac:dyDescent="0.2">
      <c r="A16" s="6" t="s">
        <v>3</v>
      </c>
      <c r="B16" s="6" t="s">
        <v>4</v>
      </c>
      <c r="C16" s="6" t="s">
        <v>5</v>
      </c>
      <c r="D16" s="6" t="s">
        <v>6</v>
      </c>
      <c r="E16" s="6" t="s">
        <v>7</v>
      </c>
      <c r="F16" s="6" t="s">
        <v>8</v>
      </c>
      <c r="G16" s="6"/>
      <c r="H16" s="6"/>
    </row>
    <row r="17" spans="1:8" x14ac:dyDescent="0.2">
      <c r="A17" s="7" t="s">
        <v>9</v>
      </c>
      <c r="B17" s="8" t="s">
        <v>25</v>
      </c>
      <c r="C17" s="7" t="s">
        <v>11</v>
      </c>
      <c r="D17" s="9">
        <v>0</v>
      </c>
      <c r="E17" s="9">
        <v>76</v>
      </c>
      <c r="F17" s="9">
        <v>100</v>
      </c>
      <c r="G17" s="8"/>
      <c r="H17" s="10"/>
    </row>
    <row r="18" spans="1:8" x14ac:dyDescent="0.2">
      <c r="A18" s="7" t="s">
        <v>12</v>
      </c>
      <c r="B18" s="8" t="s">
        <v>26</v>
      </c>
      <c r="C18" s="7" t="s">
        <v>14</v>
      </c>
      <c r="D18" s="9">
        <v>100</v>
      </c>
      <c r="E18" s="9">
        <v>0</v>
      </c>
      <c r="F18" s="9">
        <v>71</v>
      </c>
      <c r="G18" s="8"/>
      <c r="H18" s="10"/>
    </row>
    <row r="19" spans="1:8" x14ac:dyDescent="0.2">
      <c r="A19" s="7" t="s">
        <v>15</v>
      </c>
      <c r="B19" s="8" t="s">
        <v>16</v>
      </c>
      <c r="C19" s="7" t="s">
        <v>14</v>
      </c>
      <c r="D19" s="9">
        <v>85</v>
      </c>
      <c r="E19" s="9">
        <v>20</v>
      </c>
      <c r="F19" s="9">
        <v>45</v>
      </c>
      <c r="G19" s="8"/>
      <c r="H19" s="10"/>
    </row>
    <row r="20" spans="1:8" x14ac:dyDescent="0.2">
      <c r="A20" s="7" t="s">
        <v>17</v>
      </c>
      <c r="B20" s="8" t="s">
        <v>18</v>
      </c>
      <c r="C20" s="7" t="s">
        <v>14</v>
      </c>
      <c r="D20" s="9">
        <v>95</v>
      </c>
      <c r="E20" s="9">
        <v>20</v>
      </c>
      <c r="F20" s="9">
        <v>55</v>
      </c>
      <c r="G20" s="8"/>
      <c r="H20" s="10"/>
    </row>
    <row r="21" spans="1:8" x14ac:dyDescent="0.2">
      <c r="A21" s="7" t="s">
        <v>19</v>
      </c>
      <c r="B21" s="8" t="s">
        <v>20</v>
      </c>
      <c r="C21" s="7" t="s">
        <v>11</v>
      </c>
      <c r="D21" s="9">
        <v>95</v>
      </c>
      <c r="E21" s="9">
        <v>10</v>
      </c>
      <c r="F21" s="9">
        <v>75</v>
      </c>
      <c r="G21" s="8"/>
      <c r="H21" s="10"/>
    </row>
    <row r="22" spans="1:8" x14ac:dyDescent="0.2">
      <c r="A22" s="7" t="s">
        <v>21</v>
      </c>
      <c r="B22" s="8" t="s">
        <v>22</v>
      </c>
      <c r="C22" s="7" t="s">
        <v>11</v>
      </c>
      <c r="D22" s="9">
        <v>15</v>
      </c>
      <c r="E22" s="9">
        <v>55</v>
      </c>
      <c r="F22" s="9">
        <v>90</v>
      </c>
      <c r="G22" s="8"/>
      <c r="H22" s="10"/>
    </row>
  </sheetData>
  <mergeCells count="4">
    <mergeCell ref="A1:H1"/>
    <mergeCell ref="A2:H2"/>
    <mergeCell ref="A14:E14"/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Normal="100" workbookViewId="0">
      <selection activeCell="A2" sqref="A2:E3"/>
    </sheetView>
  </sheetViews>
  <sheetFormatPr baseColWidth="10" defaultColWidth="8.6640625" defaultRowHeight="15" x14ac:dyDescent="0.2"/>
  <cols>
    <col min="1" max="1" width="22" customWidth="1"/>
    <col min="2" max="5" width="14" customWidth="1"/>
  </cols>
  <sheetData>
    <row r="1" spans="1:6" ht="18" x14ac:dyDescent="0.2">
      <c r="A1" s="4" t="s">
        <v>27</v>
      </c>
      <c r="B1" s="4"/>
      <c r="C1" s="4"/>
      <c r="D1" s="4"/>
      <c r="E1" s="4"/>
      <c r="F1" s="4"/>
    </row>
    <row r="2" spans="1:6" ht="15" customHeight="1" x14ac:dyDescent="0.2">
      <c r="A2" s="3" t="s">
        <v>73</v>
      </c>
      <c r="B2" s="3"/>
      <c r="C2" s="3"/>
      <c r="D2" s="3"/>
      <c r="E2" s="3"/>
    </row>
    <row r="3" spans="1:6" x14ac:dyDescent="0.2">
      <c r="A3" s="3"/>
      <c r="B3" s="3"/>
      <c r="C3" s="3"/>
      <c r="D3" s="3"/>
      <c r="E3" s="3"/>
    </row>
    <row r="4" spans="1:6" x14ac:dyDescent="0.2">
      <c r="A4" s="5" t="s">
        <v>28</v>
      </c>
    </row>
    <row r="5" spans="1:6" x14ac:dyDescent="0.2">
      <c r="A5" s="6" t="s">
        <v>4</v>
      </c>
      <c r="B5" s="6" t="s">
        <v>29</v>
      </c>
      <c r="C5" s="6" t="s">
        <v>30</v>
      </c>
      <c r="D5" s="6" t="s">
        <v>31</v>
      </c>
      <c r="E5" s="6" t="s">
        <v>32</v>
      </c>
    </row>
    <row r="6" spans="1:6" x14ac:dyDescent="0.2">
      <c r="A6" s="8" t="s">
        <v>33</v>
      </c>
      <c r="B6" s="9">
        <v>100</v>
      </c>
      <c r="C6" s="9">
        <v>30</v>
      </c>
      <c r="D6" s="9">
        <v>60</v>
      </c>
      <c r="E6" s="9">
        <v>100</v>
      </c>
    </row>
    <row r="7" spans="1:6" x14ac:dyDescent="0.2">
      <c r="A7" s="8" t="s">
        <v>34</v>
      </c>
      <c r="B7" s="9">
        <v>50</v>
      </c>
      <c r="C7" s="9">
        <v>70</v>
      </c>
      <c r="D7" s="9">
        <v>30</v>
      </c>
      <c r="E7" s="9">
        <v>100</v>
      </c>
    </row>
    <row r="8" spans="1:6" x14ac:dyDescent="0.2">
      <c r="A8" s="8" t="s">
        <v>35</v>
      </c>
      <c r="B8" s="9">
        <v>15</v>
      </c>
      <c r="C8" s="9">
        <v>90</v>
      </c>
      <c r="D8" s="9">
        <v>35</v>
      </c>
      <c r="E8" s="9">
        <v>100</v>
      </c>
    </row>
    <row r="9" spans="1:6" x14ac:dyDescent="0.2">
      <c r="A9" s="8" t="s">
        <v>36</v>
      </c>
      <c r="B9" s="9">
        <v>10</v>
      </c>
      <c r="C9" s="9">
        <v>100</v>
      </c>
      <c r="D9" s="9">
        <v>40</v>
      </c>
      <c r="E9" s="9">
        <v>100</v>
      </c>
    </row>
    <row r="10" spans="1:6" x14ac:dyDescent="0.2">
      <c r="A10" s="8" t="s">
        <v>37</v>
      </c>
      <c r="B10" s="9">
        <v>25</v>
      </c>
      <c r="C10" s="9">
        <v>50</v>
      </c>
      <c r="D10" s="9">
        <v>80</v>
      </c>
      <c r="E10" s="9">
        <v>100</v>
      </c>
    </row>
    <row r="11" spans="1:6" x14ac:dyDescent="0.2">
      <c r="A11" s="8" t="s">
        <v>38</v>
      </c>
      <c r="B11" s="9">
        <v>35</v>
      </c>
      <c r="C11" s="9">
        <v>25</v>
      </c>
      <c r="D11" s="9">
        <v>100</v>
      </c>
      <c r="E11" s="9">
        <v>100</v>
      </c>
    </row>
    <row r="12" spans="1:6" x14ac:dyDescent="0.2">
      <c r="A12" s="11" t="s">
        <v>39</v>
      </c>
      <c r="B12" s="12">
        <f>SUM(B6:B11)</f>
        <v>235</v>
      </c>
      <c r="C12" s="12">
        <f>SUM(C6:C11)</f>
        <v>365</v>
      </c>
      <c r="D12" s="12">
        <f>SUM(D6:D11)</f>
        <v>345</v>
      </c>
      <c r="E12" s="12">
        <f>SUM(E6:E11)</f>
        <v>600</v>
      </c>
    </row>
    <row r="14" spans="1:6" x14ac:dyDescent="0.2">
      <c r="A14" s="2" t="s">
        <v>40</v>
      </c>
      <c r="B14" s="2"/>
      <c r="C14" s="2"/>
      <c r="D14" s="2"/>
      <c r="E14" s="2"/>
    </row>
    <row r="15" spans="1:6" x14ac:dyDescent="0.2">
      <c r="A15" s="13" t="s">
        <v>33</v>
      </c>
      <c r="B15" s="14">
        <f t="shared" ref="B15:E20" si="0">B6/B$12</f>
        <v>0.42553191489361702</v>
      </c>
      <c r="C15" s="14">
        <f t="shared" si="0"/>
        <v>8.2191780821917804E-2</v>
      </c>
      <c r="D15" s="14">
        <f t="shared" si="0"/>
        <v>0.17391304347826086</v>
      </c>
      <c r="E15" s="14">
        <f t="shared" si="0"/>
        <v>0.16666666666666666</v>
      </c>
    </row>
    <row r="16" spans="1:6" x14ac:dyDescent="0.2">
      <c r="A16" s="8" t="s">
        <v>34</v>
      </c>
      <c r="B16" s="15">
        <f t="shared" si="0"/>
        <v>0.21276595744680851</v>
      </c>
      <c r="C16" s="15">
        <f t="shared" si="0"/>
        <v>0.19178082191780821</v>
      </c>
      <c r="D16" s="15">
        <f t="shared" si="0"/>
        <v>8.6956521739130432E-2</v>
      </c>
      <c r="E16" s="15">
        <f t="shared" si="0"/>
        <v>0.16666666666666666</v>
      </c>
    </row>
    <row r="17" spans="1:5" x14ac:dyDescent="0.2">
      <c r="A17" s="8" t="s">
        <v>35</v>
      </c>
      <c r="B17" s="15">
        <f t="shared" si="0"/>
        <v>6.3829787234042548E-2</v>
      </c>
      <c r="C17" s="15">
        <f t="shared" si="0"/>
        <v>0.24657534246575341</v>
      </c>
      <c r="D17" s="15">
        <f t="shared" si="0"/>
        <v>0.10144927536231885</v>
      </c>
      <c r="E17" s="15">
        <f t="shared" si="0"/>
        <v>0.16666666666666666</v>
      </c>
    </row>
    <row r="18" spans="1:5" x14ac:dyDescent="0.2">
      <c r="A18" s="8" t="s">
        <v>36</v>
      </c>
      <c r="B18" s="15">
        <f t="shared" si="0"/>
        <v>4.2553191489361701E-2</v>
      </c>
      <c r="C18" s="15">
        <f t="shared" si="0"/>
        <v>0.27397260273972601</v>
      </c>
      <c r="D18" s="15">
        <f t="shared" si="0"/>
        <v>0.11594202898550725</v>
      </c>
      <c r="E18" s="15">
        <f t="shared" si="0"/>
        <v>0.16666666666666666</v>
      </c>
    </row>
    <row r="19" spans="1:5" x14ac:dyDescent="0.2">
      <c r="A19" s="8" t="s">
        <v>37</v>
      </c>
      <c r="B19" s="15">
        <f t="shared" si="0"/>
        <v>0.10638297872340426</v>
      </c>
      <c r="C19" s="15">
        <f t="shared" si="0"/>
        <v>0.13698630136986301</v>
      </c>
      <c r="D19" s="15">
        <f t="shared" si="0"/>
        <v>0.2318840579710145</v>
      </c>
      <c r="E19" s="15">
        <f t="shared" si="0"/>
        <v>0.16666666666666666</v>
      </c>
    </row>
    <row r="20" spans="1:5" x14ac:dyDescent="0.2">
      <c r="A20" s="8" t="s">
        <v>38</v>
      </c>
      <c r="B20" s="15">
        <f t="shared" si="0"/>
        <v>0.14893617021276595</v>
      </c>
      <c r="C20" s="15">
        <f t="shared" si="0"/>
        <v>6.8493150684931503E-2</v>
      </c>
      <c r="D20" s="15">
        <f t="shared" si="0"/>
        <v>0.28985507246376813</v>
      </c>
      <c r="E20" s="15">
        <f t="shared" si="0"/>
        <v>0.16666666666666666</v>
      </c>
    </row>
    <row r="21" spans="1:5" x14ac:dyDescent="0.2">
      <c r="A21" s="11" t="s">
        <v>41</v>
      </c>
      <c r="B21" s="16">
        <f>SUM(B15:B20)</f>
        <v>1</v>
      </c>
      <c r="C21" s="16">
        <f>SUM(C15:C20)</f>
        <v>1</v>
      </c>
      <c r="D21" s="16">
        <f>SUM(D15:D20)</f>
        <v>1</v>
      </c>
      <c r="E21" s="16">
        <f>SUM(E15:E20)</f>
        <v>0.99999999999999989</v>
      </c>
    </row>
  </sheetData>
  <mergeCells count="3">
    <mergeCell ref="A1:F1"/>
    <mergeCell ref="A2:E3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4" width="12" customWidth="1"/>
    <col min="5" max="6" width="10" customWidth="1"/>
    <col min="7" max="7" width="8" customWidth="1"/>
  </cols>
  <sheetData>
    <row r="1" spans="1:7" ht="18" x14ac:dyDescent="0.2">
      <c r="A1" s="4" t="s">
        <v>42</v>
      </c>
      <c r="B1" s="4"/>
      <c r="C1" s="4"/>
      <c r="D1" s="4"/>
      <c r="E1" s="4"/>
      <c r="F1" s="4"/>
      <c r="G1" s="4"/>
    </row>
    <row r="2" spans="1:7" x14ac:dyDescent="0.2">
      <c r="A2" s="1" t="s">
        <v>43</v>
      </c>
      <c r="B2" s="1"/>
      <c r="C2" s="1"/>
      <c r="D2" s="1"/>
      <c r="E2" s="1"/>
      <c r="F2" s="1"/>
      <c r="G2" s="1"/>
    </row>
    <row r="4" spans="1:7" x14ac:dyDescent="0.2">
      <c r="A4" s="5" t="s">
        <v>44</v>
      </c>
    </row>
    <row r="5" spans="1:7" x14ac:dyDescent="0.2">
      <c r="A5" s="6" t="s">
        <v>45</v>
      </c>
      <c r="B5" s="6" t="s">
        <v>6</v>
      </c>
      <c r="C5" s="6" t="s">
        <v>7</v>
      </c>
      <c r="D5" s="6" t="s">
        <v>8</v>
      </c>
      <c r="E5" s="6" t="s">
        <v>46</v>
      </c>
      <c r="F5" s="6" t="s">
        <v>47</v>
      </c>
      <c r="G5" s="6" t="s">
        <v>48</v>
      </c>
    </row>
    <row r="6" spans="1:7" x14ac:dyDescent="0.2">
      <c r="A6" s="11" t="s">
        <v>29</v>
      </c>
      <c r="B6" s="17">
        <f>SUMPRODUCT(Weights!B15:B20,Scores!D6:D11)</f>
        <v>43.085106382978715</v>
      </c>
      <c r="C6" s="17">
        <f>SUMPRODUCT(Weights!B15:B20,Scores!E6:E11)</f>
        <v>53.936170212765958</v>
      </c>
      <c r="D6" s="17">
        <f>SUMPRODUCT(Weights!B15:B20,Scores!F6:F11)</f>
        <v>59.148936170212771</v>
      </c>
      <c r="E6" s="18" t="str">
        <f>INDEX({"A","B","C"},MATCH(MAX(B6:D6),B6:D6,0))</f>
        <v>C</v>
      </c>
      <c r="F6" s="19">
        <f>MAX(B6:D6)-LARGE(B6:D6,2)</f>
        <v>5.2127659574468126</v>
      </c>
      <c r="G6" s="7" t="str">
        <f>INDEX({"A","B","C"},MATCH(LARGE(B6:D6,2),B6:D6,0))</f>
        <v>B</v>
      </c>
    </row>
    <row r="7" spans="1:7" x14ac:dyDescent="0.2">
      <c r="A7" s="11" t="s">
        <v>30</v>
      </c>
      <c r="B7" s="17">
        <f>SUMPRODUCT(Weights!C15:C20,Scores!D6:D11)</f>
        <v>80.205479452054789</v>
      </c>
      <c r="C7" s="17">
        <f>SUMPRODUCT(Weights!C15:C20,Scores!E6:E11)</f>
        <v>23.767123287671232</v>
      </c>
      <c r="D7" s="17">
        <f>SUMPRODUCT(Weights!C15:C20,Scores!F6:F11)</f>
        <v>57.780821917808218</v>
      </c>
      <c r="E7" s="18" t="str">
        <f>INDEX({"A","B","C"},MATCH(MAX(B7:D7),B7:D7,0))</f>
        <v>A</v>
      </c>
      <c r="F7" s="19">
        <f>MAX(B7:D7)-LARGE(B7:D7,2)</f>
        <v>22.42465753424657</v>
      </c>
      <c r="G7" s="7" t="str">
        <f>INDEX({"A","B","C"},MATCH(LARGE(B7:D7,2),B7:D7,0))</f>
        <v>C</v>
      </c>
    </row>
    <row r="8" spans="1:7" x14ac:dyDescent="0.2">
      <c r="A8" s="11" t="s">
        <v>31</v>
      </c>
      <c r="B8" s="17">
        <f>SUMPRODUCT(Weights!D15:D20,Scores!D6:D11)</f>
        <v>54.710144927536241</v>
      </c>
      <c r="C8" s="17">
        <f>SUMPRODUCT(Weights!D15:D20,Scores!E6:E11)</f>
        <v>40</v>
      </c>
      <c r="D8" s="17">
        <f>SUMPRODUCT(Weights!D15:D20,Scores!F6:F11)</f>
        <v>67.724637681159422</v>
      </c>
      <c r="E8" s="18" t="str">
        <f>INDEX({"A","B","C"},MATCH(MAX(B8:D8),B8:D8,0))</f>
        <v>C</v>
      </c>
      <c r="F8" s="19">
        <f>MAX(B8:D8)-LARGE(B8:D8,2)</f>
        <v>13.01449275362318</v>
      </c>
      <c r="G8" s="7" t="str">
        <f>INDEX({"A","B","C"},MATCH(LARGE(B8:D8,2),B8:D8,0))</f>
        <v>A</v>
      </c>
    </row>
    <row r="9" spans="1:7" x14ac:dyDescent="0.2">
      <c r="A9" s="11" t="s">
        <v>32</v>
      </c>
      <c r="B9" s="17">
        <f>SUMPRODUCT(Weights!E15:E20,Scores!D6:D11)</f>
        <v>64.999999999999986</v>
      </c>
      <c r="C9" s="17">
        <f>SUMPRODUCT(Weights!E15:E20,Scores!E6:E11)</f>
        <v>34.166666666666664</v>
      </c>
      <c r="D9" s="17">
        <f>SUMPRODUCT(Weights!E15:E20,Scores!F6:F11)</f>
        <v>61.833333333333329</v>
      </c>
      <c r="E9" s="18" t="str">
        <f>INDEX({"A","B","C"},MATCH(MAX(B9:D9),B9:D9,0))</f>
        <v>A</v>
      </c>
      <c r="F9" s="19">
        <f>MAX(B9:D9)-LARGE(B9:D9,2)</f>
        <v>3.1666666666666572</v>
      </c>
      <c r="G9" s="7" t="str">
        <f>INDEX({"A","B","C"},MATCH(LARGE(B9:D9,2),B9:D9,0))</f>
        <v>C</v>
      </c>
    </row>
    <row r="12" spans="1:7" x14ac:dyDescent="0.2">
      <c r="A12" s="5" t="s">
        <v>49</v>
      </c>
    </row>
    <row r="13" spans="1:7" x14ac:dyDescent="0.2">
      <c r="A13" s="6" t="s">
        <v>45</v>
      </c>
      <c r="B13" s="6" t="s">
        <v>6</v>
      </c>
      <c r="C13" s="6" t="s">
        <v>7</v>
      </c>
      <c r="D13" s="6" t="s">
        <v>8</v>
      </c>
      <c r="E13" s="6" t="s">
        <v>46</v>
      </c>
      <c r="F13" s="6" t="s">
        <v>47</v>
      </c>
      <c r="G13" s="6" t="s">
        <v>48</v>
      </c>
    </row>
    <row r="14" spans="1:7" x14ac:dyDescent="0.2">
      <c r="A14" s="11" t="s">
        <v>29</v>
      </c>
      <c r="B14" s="17">
        <f>SUMPRODUCT(Weights!B15:B20,Scores!D17:D22)</f>
        <v>43.085106382978715</v>
      </c>
      <c r="C14" s="17">
        <f>SUMPRODUCT(Weights!B15:B20,Scores!E17:E22)</f>
        <v>43.723404255319153</v>
      </c>
      <c r="D14" s="17">
        <f>SUMPRODUCT(Weights!B15:B20,Scores!F17:F22)</f>
        <v>84.255319148936167</v>
      </c>
      <c r="E14" s="18" t="str">
        <f>INDEX({"A","B","C"},MATCH(MAX(B14:D14),B14:D14,0))</f>
        <v>C</v>
      </c>
      <c r="F14" s="19">
        <f>MAX(B14:D14)-LARGE(B14:D14,2)</f>
        <v>40.531914893617014</v>
      </c>
      <c r="G14" s="7" t="str">
        <f>INDEX({"A","B","C"},MATCH(LARGE(B14:D14,2),B14:D14,0))</f>
        <v>B</v>
      </c>
    </row>
    <row r="15" spans="1:7" x14ac:dyDescent="0.2">
      <c r="A15" s="11" t="s">
        <v>30</v>
      </c>
      <c r="B15" s="17">
        <f>SUMPRODUCT(Weights!C15:C20,Scores!D17:D22)</f>
        <v>80.205479452054789</v>
      </c>
      <c r="C15" s="17">
        <f>SUMPRODUCT(Weights!C15:C20,Scores!E17:E22)</f>
        <v>21.794520547945204</v>
      </c>
      <c r="D15" s="17">
        <f>SUMPRODUCT(Weights!C15:C20,Scores!F17:F22)</f>
        <v>64.438356164383549</v>
      </c>
      <c r="E15" s="18" t="str">
        <f>INDEX({"A","B","C"},MATCH(MAX(B15:D15),B15:D15,0))</f>
        <v>A</v>
      </c>
      <c r="F15" s="19">
        <f>MAX(B15:D15)-LARGE(B15:D15,2)</f>
        <v>15.767123287671239</v>
      </c>
      <c r="G15" s="7" t="str">
        <f>INDEX({"A","B","C"},MATCH(LARGE(B15:D15,2),B15:D15,0))</f>
        <v>C</v>
      </c>
    </row>
    <row r="16" spans="1:7" x14ac:dyDescent="0.2">
      <c r="A16" s="11" t="s">
        <v>31</v>
      </c>
      <c r="B16" s="17">
        <f>SUMPRODUCT(Weights!D15:D20,Scores!D17:D22)</f>
        <v>54.710144927536241</v>
      </c>
      <c r="C16" s="17">
        <f>SUMPRODUCT(Weights!D15:D20,Scores!E17:E22)</f>
        <v>35.826086956521735</v>
      </c>
      <c r="D16" s="17">
        <f>SUMPRODUCT(Weights!D15:D20,Scores!F17:F22)</f>
        <v>77.985507246376812</v>
      </c>
      <c r="E16" s="18" t="str">
        <f>INDEX({"A","B","C"},MATCH(MAX(B16:D16),B16:D16,0))</f>
        <v>C</v>
      </c>
      <c r="F16" s="19">
        <f>MAX(B16:D16)-LARGE(B16:D16,2)</f>
        <v>23.275362318840571</v>
      </c>
      <c r="G16" s="7" t="str">
        <f>INDEX({"A","B","C"},MATCH(LARGE(B16:D16,2),B16:D16,0))</f>
        <v>A</v>
      </c>
    </row>
    <row r="17" spans="1:7" x14ac:dyDescent="0.2">
      <c r="A17" s="11" t="s">
        <v>32</v>
      </c>
      <c r="B17" s="17">
        <f>SUMPRODUCT(Weights!E15:E20,Scores!D17:D22)</f>
        <v>64.999999999999986</v>
      </c>
      <c r="C17" s="17">
        <f>SUMPRODUCT(Weights!E15:E20,Scores!E17:E22)</f>
        <v>30.166666666666664</v>
      </c>
      <c r="D17" s="17">
        <f>SUMPRODUCT(Weights!E15:E20,Scores!F17:F22)</f>
        <v>72.666666666666657</v>
      </c>
      <c r="E17" s="18" t="str">
        <f>INDEX({"A","B","C"},MATCH(MAX(B17:D17),B17:D17,0))</f>
        <v>C</v>
      </c>
      <c r="F17" s="19">
        <f>MAX(B17:D17)-LARGE(B17:D17,2)</f>
        <v>7.6666666666666714</v>
      </c>
      <c r="G17" s="7" t="str">
        <f>INDEX({"A","B","C"},MATCH(LARGE(B17:D17,2),B17:D17,0))</f>
        <v>A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6" width="12" customWidth="1"/>
  </cols>
  <sheetData>
    <row r="1" spans="1:6" ht="18" x14ac:dyDescent="0.2">
      <c r="A1" s="4" t="s">
        <v>50</v>
      </c>
      <c r="B1" s="4"/>
      <c r="C1" s="4"/>
      <c r="D1" s="4"/>
      <c r="E1" s="4"/>
      <c r="F1" s="4"/>
    </row>
    <row r="2" spans="1:6" ht="15" customHeight="1" x14ac:dyDescent="0.2">
      <c r="A2" s="3" t="s">
        <v>51</v>
      </c>
      <c r="B2" s="3"/>
      <c r="C2" s="3"/>
      <c r="D2" s="3"/>
      <c r="E2" s="3"/>
      <c r="F2" s="3"/>
    </row>
    <row r="3" spans="1:6" x14ac:dyDescent="0.2">
      <c r="A3" s="3"/>
      <c r="B3" s="3"/>
      <c r="C3" s="3"/>
      <c r="D3" s="3"/>
      <c r="E3" s="3"/>
      <c r="F3" s="3"/>
    </row>
    <row r="4" spans="1:6" x14ac:dyDescent="0.2">
      <c r="A4" s="6" t="s">
        <v>52</v>
      </c>
      <c r="B4" s="6" t="s">
        <v>53</v>
      </c>
      <c r="C4" s="6" t="s">
        <v>6</v>
      </c>
      <c r="D4" s="6" t="s">
        <v>7</v>
      </c>
      <c r="E4" s="6" t="s">
        <v>8</v>
      </c>
      <c r="F4" s="6" t="s">
        <v>54</v>
      </c>
    </row>
    <row r="5" spans="1:6" x14ac:dyDescent="0.2">
      <c r="A5" s="20">
        <v>0</v>
      </c>
      <c r="B5" s="21">
        <f t="shared" ref="B5:B36" si="0">(1-A5)/5</f>
        <v>0.2</v>
      </c>
      <c r="C5" s="17">
        <f>A5*Scores!D6+B5*(SUM(Scores!D6:D11)-Scores!D6)</f>
        <v>78</v>
      </c>
      <c r="D5" s="17">
        <f>A5*Scores!E6+B5*(SUM(Scores!E6:E11)-Scores!E6)</f>
        <v>21</v>
      </c>
      <c r="E5" s="17">
        <f>A5*Scores!F6+B5*(SUM(Scores!F6:F11)-Scores!F6)</f>
        <v>64.8</v>
      </c>
      <c r="F5" s="7" t="str">
        <f>INDEX({"A","B","C"},MATCH(MAX(C5:E5),C5:E5,0))</f>
        <v>A</v>
      </c>
    </row>
    <row r="6" spans="1:6" x14ac:dyDescent="0.2">
      <c r="A6" s="20">
        <v>0.02</v>
      </c>
      <c r="B6" s="21">
        <f t="shared" si="0"/>
        <v>0.19600000000000001</v>
      </c>
      <c r="C6" s="17">
        <f>A6*Scores!D6+B6*(SUM(Scores!D6:D11)-Scores!D6)</f>
        <v>76.44</v>
      </c>
      <c r="D6" s="17">
        <f>A6*Scores!E6+B6*(SUM(Scores!E6:E11)-Scores!E6)</f>
        <v>22.580000000000002</v>
      </c>
      <c r="E6" s="17">
        <f>A6*Scores!F6+B6*(SUM(Scores!F6:F11)-Scores!F6)</f>
        <v>64.444000000000003</v>
      </c>
      <c r="F6" s="7" t="str">
        <f>INDEX({"A","B","C"},MATCH(MAX(C6:E6),C6:E6,0))</f>
        <v>A</v>
      </c>
    </row>
    <row r="7" spans="1:6" x14ac:dyDescent="0.2">
      <c r="A7" s="20">
        <v>0.04</v>
      </c>
      <c r="B7" s="21">
        <f t="shared" si="0"/>
        <v>0.192</v>
      </c>
      <c r="C7" s="17">
        <f>A7*Scores!D6+B7*(SUM(Scores!D6:D11)-Scores!D6)</f>
        <v>74.88</v>
      </c>
      <c r="D7" s="17">
        <f>A7*Scores!E6+B7*(SUM(Scores!E6:E11)-Scores!E6)</f>
        <v>24.16</v>
      </c>
      <c r="E7" s="17">
        <f>A7*Scores!F6+B7*(SUM(Scores!F6:F11)-Scores!F6)</f>
        <v>64.087999999999994</v>
      </c>
      <c r="F7" s="7" t="str">
        <f>INDEX({"A","B","C"},MATCH(MAX(C7:E7),C7:E7,0))</f>
        <v>A</v>
      </c>
    </row>
    <row r="8" spans="1:6" x14ac:dyDescent="0.2">
      <c r="A8" s="20">
        <v>0.06</v>
      </c>
      <c r="B8" s="21">
        <f t="shared" si="0"/>
        <v>0.188</v>
      </c>
      <c r="C8" s="17">
        <f>A8*Scores!D6+B8*(SUM(Scores!D6:D11)-Scores!D6)</f>
        <v>73.319999999999993</v>
      </c>
      <c r="D8" s="17">
        <f>A8*Scores!E6+B8*(SUM(Scores!E6:E11)-Scores!E6)</f>
        <v>25.74</v>
      </c>
      <c r="E8" s="17">
        <f>A8*Scores!F6+B8*(SUM(Scores!F6:F11)-Scores!F6)</f>
        <v>63.731999999999999</v>
      </c>
      <c r="F8" s="7" t="str">
        <f>INDEX({"A","B","C"},MATCH(MAX(C8:E8),C8:E8,0))</f>
        <v>A</v>
      </c>
    </row>
    <row r="9" spans="1:6" x14ac:dyDescent="0.2">
      <c r="A9" s="20">
        <v>0.08</v>
      </c>
      <c r="B9" s="21">
        <f t="shared" si="0"/>
        <v>0.184</v>
      </c>
      <c r="C9" s="17">
        <f>A9*Scores!D6+B9*(SUM(Scores!D6:D11)-Scores!D6)</f>
        <v>71.760000000000005</v>
      </c>
      <c r="D9" s="17">
        <f>A9*Scores!E6+B9*(SUM(Scores!E6:E11)-Scores!E6)</f>
        <v>27.32</v>
      </c>
      <c r="E9" s="17">
        <f>A9*Scores!F6+B9*(SUM(Scores!F6:F11)-Scores!F6)</f>
        <v>63.375999999999998</v>
      </c>
      <c r="F9" s="7" t="str">
        <f>INDEX({"A","B","C"},MATCH(MAX(C9:E9),C9:E9,0))</f>
        <v>A</v>
      </c>
    </row>
    <row r="10" spans="1:6" x14ac:dyDescent="0.2">
      <c r="A10" s="20">
        <v>0.1</v>
      </c>
      <c r="B10" s="21">
        <f t="shared" si="0"/>
        <v>0.18</v>
      </c>
      <c r="C10" s="17">
        <f>A10*Scores!D6+B10*(SUM(Scores!D6:D11)-Scores!D6)</f>
        <v>70.2</v>
      </c>
      <c r="D10" s="17">
        <f>A10*Scores!E6+B10*(SUM(Scores!E6:E11)-Scores!E6)</f>
        <v>28.9</v>
      </c>
      <c r="E10" s="17">
        <f>A10*Scores!F6+B10*(SUM(Scores!F6:F11)-Scores!F6)</f>
        <v>63.02</v>
      </c>
      <c r="F10" s="7" t="str">
        <f>INDEX({"A","B","C"},MATCH(MAX(C10:E10),C10:E10,0))</f>
        <v>A</v>
      </c>
    </row>
    <row r="11" spans="1:6" x14ac:dyDescent="0.2">
      <c r="A11" s="20">
        <v>0.12</v>
      </c>
      <c r="B11" s="21">
        <f t="shared" si="0"/>
        <v>0.17599999999999999</v>
      </c>
      <c r="C11" s="17">
        <f>A11*Scores!D6+B11*(SUM(Scores!D6:D11)-Scores!D6)</f>
        <v>68.64</v>
      </c>
      <c r="D11" s="17">
        <f>A11*Scores!E6+B11*(SUM(Scores!E6:E11)-Scores!E6)</f>
        <v>30.48</v>
      </c>
      <c r="E11" s="17">
        <f>A11*Scores!F6+B11*(SUM(Scores!F6:F11)-Scores!F6)</f>
        <v>62.663999999999994</v>
      </c>
      <c r="F11" s="7" t="str">
        <f>INDEX({"A","B","C"},MATCH(MAX(C11:E11),C11:E11,0))</f>
        <v>A</v>
      </c>
    </row>
    <row r="12" spans="1:6" x14ac:dyDescent="0.2">
      <c r="A12" s="20">
        <v>0.14000000000000001</v>
      </c>
      <c r="B12" s="21">
        <f t="shared" si="0"/>
        <v>0.17199999999999999</v>
      </c>
      <c r="C12" s="17">
        <f>A12*Scores!D6+B12*(SUM(Scores!D6:D11)-Scores!D6)</f>
        <v>67.08</v>
      </c>
      <c r="D12" s="17">
        <f>A12*Scores!E6+B12*(SUM(Scores!E6:E11)-Scores!E6)</f>
        <v>32.06</v>
      </c>
      <c r="E12" s="17">
        <f>A12*Scores!F6+B12*(SUM(Scores!F6:F11)-Scores!F6)</f>
        <v>62.307999999999993</v>
      </c>
      <c r="F12" s="7" t="str">
        <f>INDEX({"A","B","C"},MATCH(MAX(C12:E12),C12:E12,0))</f>
        <v>A</v>
      </c>
    </row>
    <row r="13" spans="1:6" x14ac:dyDescent="0.2">
      <c r="A13" s="20">
        <v>0.16</v>
      </c>
      <c r="B13" s="21">
        <f t="shared" si="0"/>
        <v>0.16799999999999998</v>
      </c>
      <c r="C13" s="17">
        <f>A13*Scores!D6+B13*(SUM(Scores!D6:D11)-Scores!D6)</f>
        <v>65.52</v>
      </c>
      <c r="D13" s="17">
        <f>A13*Scores!E6+B13*(SUM(Scores!E6:E11)-Scores!E6)</f>
        <v>33.64</v>
      </c>
      <c r="E13" s="17">
        <f>A13*Scores!F6+B13*(SUM(Scores!F6:F11)-Scores!F6)</f>
        <v>61.951999999999998</v>
      </c>
      <c r="F13" s="7" t="str">
        <f>INDEX({"A","B","C"},MATCH(MAX(C13:E13),C13:E13,0))</f>
        <v>A</v>
      </c>
    </row>
    <row r="14" spans="1:6" x14ac:dyDescent="0.2">
      <c r="A14" s="20">
        <v>0.18</v>
      </c>
      <c r="B14" s="21">
        <f t="shared" si="0"/>
        <v>0.16400000000000001</v>
      </c>
      <c r="C14" s="17">
        <f>A14*Scores!D6+B14*(SUM(Scores!D6:D11)-Scores!D6)</f>
        <v>63.96</v>
      </c>
      <c r="D14" s="17">
        <f>A14*Scores!E6+B14*(SUM(Scores!E6:E11)-Scores!E6)</f>
        <v>35.22</v>
      </c>
      <c r="E14" s="17">
        <f>A14*Scores!F6+B14*(SUM(Scores!F6:F11)-Scores!F6)</f>
        <v>61.596000000000004</v>
      </c>
      <c r="F14" s="7" t="str">
        <f>INDEX({"A","B","C"},MATCH(MAX(C14:E14),C14:E14,0))</f>
        <v>A</v>
      </c>
    </row>
    <row r="15" spans="1:6" x14ac:dyDescent="0.2">
      <c r="A15" s="20">
        <v>0.2</v>
      </c>
      <c r="B15" s="21">
        <f t="shared" si="0"/>
        <v>0.16</v>
      </c>
      <c r="C15" s="17">
        <f>A15*Scores!D6+B15*(SUM(Scores!D6:D11)-Scores!D6)</f>
        <v>62.4</v>
      </c>
      <c r="D15" s="17">
        <f>A15*Scores!E6+B15*(SUM(Scores!E6:E11)-Scores!E6)</f>
        <v>36.799999999999997</v>
      </c>
      <c r="E15" s="17">
        <f>A15*Scores!F6+B15*(SUM(Scores!F6:F11)-Scores!F6)</f>
        <v>61.24</v>
      </c>
      <c r="F15" s="7" t="str">
        <f>INDEX({"A","B","C"},MATCH(MAX(C15:E15),C15:E15,0))</f>
        <v>A</v>
      </c>
    </row>
    <row r="16" spans="1:6" x14ac:dyDescent="0.2">
      <c r="A16" s="20">
        <v>0.22</v>
      </c>
      <c r="B16" s="21">
        <f t="shared" si="0"/>
        <v>0.156</v>
      </c>
      <c r="C16" s="17">
        <f>A16*Scores!D6+B16*(SUM(Scores!D6:D11)-Scores!D6)</f>
        <v>60.84</v>
      </c>
      <c r="D16" s="17">
        <f>A16*Scores!E6+B16*(SUM(Scores!E6:E11)-Scores!E6)</f>
        <v>38.379999999999995</v>
      </c>
      <c r="E16" s="17">
        <f>A16*Scores!F6+B16*(SUM(Scores!F6:F11)-Scores!F6)</f>
        <v>60.884</v>
      </c>
      <c r="F16" s="7" t="str">
        <f>INDEX({"A","B","C"},MATCH(MAX(C16:E16),C16:E16,0))</f>
        <v>C</v>
      </c>
    </row>
    <row r="17" spans="1:6" x14ac:dyDescent="0.2">
      <c r="A17" s="20">
        <v>0.24</v>
      </c>
      <c r="B17" s="21">
        <f t="shared" si="0"/>
        <v>0.152</v>
      </c>
      <c r="C17" s="17">
        <f>A17*Scores!D6+B17*(SUM(Scores!D6:D11)-Scores!D6)</f>
        <v>59.28</v>
      </c>
      <c r="D17" s="17">
        <f>A17*Scores!E6+B17*(SUM(Scores!E6:E11)-Scores!E6)</f>
        <v>39.96</v>
      </c>
      <c r="E17" s="17">
        <f>A17*Scores!F6+B17*(SUM(Scores!F6:F11)-Scores!F6)</f>
        <v>60.527999999999999</v>
      </c>
      <c r="F17" s="7" t="str">
        <f>INDEX({"A","B","C"},MATCH(MAX(C17:E17),C17:E17,0))</f>
        <v>C</v>
      </c>
    </row>
    <row r="18" spans="1:6" x14ac:dyDescent="0.2">
      <c r="A18" s="20">
        <v>0.26</v>
      </c>
      <c r="B18" s="21">
        <f t="shared" si="0"/>
        <v>0.14799999999999999</v>
      </c>
      <c r="C18" s="17">
        <f>A18*Scores!D6+B18*(SUM(Scores!D6:D11)-Scores!D6)</f>
        <v>57.72</v>
      </c>
      <c r="D18" s="17">
        <f>A18*Scores!E6+B18*(SUM(Scores!E6:E11)-Scores!E6)</f>
        <v>41.54</v>
      </c>
      <c r="E18" s="17">
        <f>A18*Scores!F6+B18*(SUM(Scores!F6:F11)-Scores!F6)</f>
        <v>60.171999999999997</v>
      </c>
      <c r="F18" s="7" t="str">
        <f>INDEX({"A","B","C"},MATCH(MAX(C18:E18),C18:E18,0))</f>
        <v>C</v>
      </c>
    </row>
    <row r="19" spans="1:6" x14ac:dyDescent="0.2">
      <c r="A19" s="20">
        <v>0.28000000000000003</v>
      </c>
      <c r="B19" s="21">
        <f t="shared" si="0"/>
        <v>0.14399999999999999</v>
      </c>
      <c r="C19" s="17">
        <f>A19*Scores!D6+B19*(SUM(Scores!D6:D11)-Scores!D6)</f>
        <v>56.16</v>
      </c>
      <c r="D19" s="17">
        <f>A19*Scores!E6+B19*(SUM(Scores!E6:E11)-Scores!E6)</f>
        <v>43.120000000000005</v>
      </c>
      <c r="E19" s="17">
        <f>A19*Scores!F6+B19*(SUM(Scores!F6:F11)-Scores!F6)</f>
        <v>59.816000000000003</v>
      </c>
      <c r="F19" s="7" t="str">
        <f>INDEX({"A","B","C"},MATCH(MAX(C19:E19),C19:E19,0))</f>
        <v>C</v>
      </c>
    </row>
    <row r="20" spans="1:6" x14ac:dyDescent="0.2">
      <c r="A20" s="20">
        <v>0.3</v>
      </c>
      <c r="B20" s="21">
        <f t="shared" si="0"/>
        <v>0.13999999999999999</v>
      </c>
      <c r="C20" s="17">
        <f>A20*Scores!D6+B20*(SUM(Scores!D6:D11)-Scores!D6)</f>
        <v>54.599999999999994</v>
      </c>
      <c r="D20" s="17">
        <f>A20*Scores!E6+B20*(SUM(Scores!E6:E11)-Scores!E6)</f>
        <v>44.7</v>
      </c>
      <c r="E20" s="17">
        <f>A20*Scores!F6+B20*(SUM(Scores!F6:F11)-Scores!F6)</f>
        <v>59.459999999999994</v>
      </c>
      <c r="F20" s="7" t="str">
        <f>INDEX({"A","B","C"},MATCH(MAX(C20:E20),C20:E20,0))</f>
        <v>C</v>
      </c>
    </row>
    <row r="21" spans="1:6" x14ac:dyDescent="0.2">
      <c r="A21" s="20">
        <v>0.32</v>
      </c>
      <c r="B21" s="21">
        <f t="shared" si="0"/>
        <v>0.13599999999999998</v>
      </c>
      <c r="C21" s="17">
        <f>A21*Scores!D6+B21*(SUM(Scores!D6:D11)-Scores!D6)</f>
        <v>53.039999999999992</v>
      </c>
      <c r="D21" s="17">
        <f>A21*Scores!E6+B21*(SUM(Scores!E6:E11)-Scores!E6)</f>
        <v>46.28</v>
      </c>
      <c r="E21" s="17">
        <f>A21*Scores!F6+B21*(SUM(Scores!F6:F11)-Scores!F6)</f>
        <v>59.103999999999992</v>
      </c>
      <c r="F21" s="7" t="str">
        <f>INDEX({"A","B","C"},MATCH(MAX(C21:E21),C21:E21,0))</f>
        <v>C</v>
      </c>
    </row>
    <row r="22" spans="1:6" x14ac:dyDescent="0.2">
      <c r="A22" s="20">
        <v>0.34</v>
      </c>
      <c r="B22" s="21">
        <f t="shared" si="0"/>
        <v>0.13199999999999998</v>
      </c>
      <c r="C22" s="17">
        <f>A22*Scores!D6+B22*(SUM(Scores!D6:D11)-Scores!D6)</f>
        <v>51.47999999999999</v>
      </c>
      <c r="D22" s="17">
        <f>A22*Scores!E6+B22*(SUM(Scores!E6:E11)-Scores!E6)</f>
        <v>47.86</v>
      </c>
      <c r="E22" s="17">
        <f>A22*Scores!F6+B22*(SUM(Scores!F6:F11)-Scores!F6)</f>
        <v>58.74799999999999</v>
      </c>
      <c r="F22" s="7" t="str">
        <f>INDEX({"A","B","C"},MATCH(MAX(C22:E22),C22:E22,0))</f>
        <v>C</v>
      </c>
    </row>
    <row r="23" spans="1:6" x14ac:dyDescent="0.2">
      <c r="A23" s="20">
        <v>0.36</v>
      </c>
      <c r="B23" s="21">
        <f t="shared" si="0"/>
        <v>0.128</v>
      </c>
      <c r="C23" s="17">
        <f>A23*Scores!D6+B23*(SUM(Scores!D6:D11)-Scores!D6)</f>
        <v>49.92</v>
      </c>
      <c r="D23" s="17">
        <f>A23*Scores!E6+B23*(SUM(Scores!E6:E11)-Scores!E6)</f>
        <v>49.44</v>
      </c>
      <c r="E23" s="17">
        <f>A23*Scores!F6+B23*(SUM(Scores!F6:F11)-Scores!F6)</f>
        <v>58.391999999999996</v>
      </c>
      <c r="F23" s="7" t="str">
        <f>INDEX({"A","B","C"},MATCH(MAX(C23:E23),C23:E23,0))</f>
        <v>C</v>
      </c>
    </row>
    <row r="24" spans="1:6" x14ac:dyDescent="0.2">
      <c r="A24" s="20">
        <v>0.38</v>
      </c>
      <c r="B24" s="21">
        <f t="shared" si="0"/>
        <v>0.124</v>
      </c>
      <c r="C24" s="17">
        <f>A24*Scores!D6+B24*(SUM(Scores!D6:D11)-Scores!D6)</f>
        <v>48.36</v>
      </c>
      <c r="D24" s="17">
        <f>A24*Scores!E6+B24*(SUM(Scores!E6:E11)-Scores!E6)</f>
        <v>51.019999999999996</v>
      </c>
      <c r="E24" s="17">
        <f>A24*Scores!F6+B24*(SUM(Scores!F6:F11)-Scores!F6)</f>
        <v>58.036000000000001</v>
      </c>
      <c r="F24" s="7" t="str">
        <f>INDEX({"A","B","C"},MATCH(MAX(C24:E24),C24:E24,0))</f>
        <v>C</v>
      </c>
    </row>
    <row r="25" spans="1:6" x14ac:dyDescent="0.2">
      <c r="A25" s="20">
        <v>0.4</v>
      </c>
      <c r="B25" s="21">
        <f t="shared" si="0"/>
        <v>0.12</v>
      </c>
      <c r="C25" s="17">
        <f>A25*Scores!D6+B25*(SUM(Scores!D6:D11)-Scores!D6)</f>
        <v>46.8</v>
      </c>
      <c r="D25" s="17">
        <f>A25*Scores!E6+B25*(SUM(Scores!E6:E11)-Scores!E6)</f>
        <v>52.6</v>
      </c>
      <c r="E25" s="17">
        <f>A25*Scores!F6+B25*(SUM(Scores!F6:F11)-Scores!F6)</f>
        <v>57.679999999999993</v>
      </c>
      <c r="F25" s="7" t="str">
        <f>INDEX({"A","B","C"},MATCH(MAX(C25:E25),C25:E25,0))</f>
        <v>C</v>
      </c>
    </row>
    <row r="26" spans="1:6" x14ac:dyDescent="0.2">
      <c r="A26" s="20">
        <v>0.42</v>
      </c>
      <c r="B26" s="21">
        <f t="shared" si="0"/>
        <v>0.11600000000000002</v>
      </c>
      <c r="C26" s="17">
        <f>A26*Scores!D6+B26*(SUM(Scores!D6:D11)-Scores!D6)</f>
        <v>45.240000000000009</v>
      </c>
      <c r="D26" s="17">
        <f>A26*Scores!E6+B26*(SUM(Scores!E6:E11)-Scores!E6)</f>
        <v>54.18</v>
      </c>
      <c r="E26" s="17">
        <f>A26*Scores!F6+B26*(SUM(Scores!F6:F11)-Scores!F6)</f>
        <v>57.323999999999998</v>
      </c>
      <c r="F26" s="7" t="str">
        <f>INDEX({"A","B","C"},MATCH(MAX(C26:E26),C26:E26,0))</f>
        <v>C</v>
      </c>
    </row>
    <row r="27" spans="1:6" x14ac:dyDescent="0.2">
      <c r="A27" s="20">
        <v>0.44</v>
      </c>
      <c r="B27" s="21">
        <f t="shared" si="0"/>
        <v>0.11200000000000002</v>
      </c>
      <c r="C27" s="17">
        <f>A27*Scores!D6+B27*(SUM(Scores!D6:D11)-Scores!D6)</f>
        <v>43.680000000000007</v>
      </c>
      <c r="D27" s="17">
        <f>A27*Scores!E6+B27*(SUM(Scores!E6:E11)-Scores!E6)</f>
        <v>55.760000000000005</v>
      </c>
      <c r="E27" s="17">
        <f>A27*Scores!F6+B27*(SUM(Scores!F6:F11)-Scores!F6)</f>
        <v>56.968000000000004</v>
      </c>
      <c r="F27" s="7" t="str">
        <f>INDEX({"A","B","C"},MATCH(MAX(C27:E27),C27:E27,0))</f>
        <v>C</v>
      </c>
    </row>
    <row r="28" spans="1:6" x14ac:dyDescent="0.2">
      <c r="A28" s="20">
        <v>0.46</v>
      </c>
      <c r="B28" s="21">
        <f t="shared" si="0"/>
        <v>0.10800000000000001</v>
      </c>
      <c r="C28" s="17">
        <f>A28*Scores!D6+B28*(SUM(Scores!D6:D11)-Scores!D6)</f>
        <v>42.120000000000005</v>
      </c>
      <c r="D28" s="17">
        <f>A28*Scores!E6+B28*(SUM(Scores!E6:E11)-Scores!E6)</f>
        <v>57.34</v>
      </c>
      <c r="E28" s="17">
        <f>A28*Scores!F6+B28*(SUM(Scores!F6:F11)-Scores!F6)</f>
        <v>56.612000000000009</v>
      </c>
      <c r="F28" s="7" t="str">
        <f>INDEX({"A","B","C"},MATCH(MAX(C28:E28),C28:E28,0))</f>
        <v>B</v>
      </c>
    </row>
    <row r="29" spans="1:6" x14ac:dyDescent="0.2">
      <c r="A29" s="20">
        <v>0.48</v>
      </c>
      <c r="B29" s="21">
        <f t="shared" si="0"/>
        <v>0.10400000000000001</v>
      </c>
      <c r="C29" s="17">
        <f>A29*Scores!D6+B29*(SUM(Scores!D6:D11)-Scores!D6)</f>
        <v>40.56</v>
      </c>
      <c r="D29" s="17">
        <f>A29*Scores!E6+B29*(SUM(Scores!E6:E11)-Scores!E6)</f>
        <v>58.92</v>
      </c>
      <c r="E29" s="17">
        <f>A29*Scores!F6+B29*(SUM(Scores!F6:F11)-Scores!F6)</f>
        <v>56.256</v>
      </c>
      <c r="F29" s="7" t="str">
        <f>INDEX({"A","B","C"},MATCH(MAX(C29:E29),C29:E29,0))</f>
        <v>B</v>
      </c>
    </row>
    <row r="30" spans="1:6" x14ac:dyDescent="0.2">
      <c r="A30" s="20">
        <v>0.5</v>
      </c>
      <c r="B30" s="21">
        <f t="shared" si="0"/>
        <v>0.1</v>
      </c>
      <c r="C30" s="17">
        <f>A30*Scores!D6+B30*(SUM(Scores!D6:D11)-Scores!D6)</f>
        <v>39</v>
      </c>
      <c r="D30" s="17">
        <f>A30*Scores!E6+B30*(SUM(Scores!E6:E11)-Scores!E6)</f>
        <v>60.5</v>
      </c>
      <c r="E30" s="17">
        <f>A30*Scores!F6+B30*(SUM(Scores!F6:F11)-Scores!F6)</f>
        <v>55.9</v>
      </c>
      <c r="F30" s="7" t="str">
        <f>INDEX({"A","B","C"},MATCH(MAX(C30:E30),C30:E30,0))</f>
        <v>B</v>
      </c>
    </row>
    <row r="31" spans="1:6" x14ac:dyDescent="0.2">
      <c r="A31" s="20">
        <v>0.52</v>
      </c>
      <c r="B31" s="21">
        <f t="shared" si="0"/>
        <v>9.6000000000000002E-2</v>
      </c>
      <c r="C31" s="17">
        <f>A31*Scores!D6+B31*(SUM(Scores!D6:D11)-Scores!D6)</f>
        <v>37.44</v>
      </c>
      <c r="D31" s="17">
        <f>A31*Scores!E6+B31*(SUM(Scores!E6:E11)-Scores!E6)</f>
        <v>62.08</v>
      </c>
      <c r="E31" s="17">
        <f>A31*Scores!F6+B31*(SUM(Scores!F6:F11)-Scores!F6)</f>
        <v>55.543999999999997</v>
      </c>
      <c r="F31" s="7" t="str">
        <f>INDEX({"A","B","C"},MATCH(MAX(C31:E31),C31:E31,0))</f>
        <v>B</v>
      </c>
    </row>
    <row r="32" spans="1:6" x14ac:dyDescent="0.2">
      <c r="A32" s="20">
        <v>0.54</v>
      </c>
      <c r="B32" s="21">
        <f t="shared" si="0"/>
        <v>9.1999999999999998E-2</v>
      </c>
      <c r="C32" s="17">
        <f>A32*Scores!D6+B32*(SUM(Scores!D6:D11)-Scores!D6)</f>
        <v>35.880000000000003</v>
      </c>
      <c r="D32" s="17">
        <f>A32*Scores!E6+B32*(SUM(Scores!E6:E11)-Scores!E6)</f>
        <v>63.66</v>
      </c>
      <c r="E32" s="17">
        <f>A32*Scores!F6+B32*(SUM(Scores!F6:F11)-Scores!F6)</f>
        <v>55.188000000000002</v>
      </c>
      <c r="F32" s="7" t="str">
        <f>INDEX({"A","B","C"},MATCH(MAX(C32:E32),C32:E32,0))</f>
        <v>B</v>
      </c>
    </row>
    <row r="33" spans="1:6" x14ac:dyDescent="0.2">
      <c r="A33" s="20">
        <v>0.56000000000000005</v>
      </c>
      <c r="B33" s="21">
        <f t="shared" si="0"/>
        <v>8.7999999999999995E-2</v>
      </c>
      <c r="C33" s="17">
        <f>A33*Scores!D6+B33*(SUM(Scores!D6:D11)-Scores!D6)</f>
        <v>34.32</v>
      </c>
      <c r="D33" s="17">
        <f>A33*Scores!E6+B33*(SUM(Scores!E6:E11)-Scores!E6)</f>
        <v>65.240000000000009</v>
      </c>
      <c r="E33" s="17">
        <f>A33*Scores!F6+B33*(SUM(Scores!F6:F11)-Scores!F6)</f>
        <v>54.832000000000001</v>
      </c>
      <c r="F33" s="7" t="str">
        <f>INDEX({"A","B","C"},MATCH(MAX(C33:E33),C33:E33,0))</f>
        <v>B</v>
      </c>
    </row>
    <row r="34" spans="1:6" x14ac:dyDescent="0.2">
      <c r="A34" s="20">
        <v>0.57999999999999996</v>
      </c>
      <c r="B34" s="21">
        <f t="shared" si="0"/>
        <v>8.4000000000000005E-2</v>
      </c>
      <c r="C34" s="17">
        <f>A34*Scores!D6+B34*(SUM(Scores!D6:D11)-Scores!D6)</f>
        <v>32.760000000000005</v>
      </c>
      <c r="D34" s="17">
        <f>A34*Scores!E6+B34*(SUM(Scores!E6:E11)-Scores!E6)</f>
        <v>66.819999999999993</v>
      </c>
      <c r="E34" s="17">
        <f>A34*Scores!F6+B34*(SUM(Scores!F6:F11)-Scores!F6)</f>
        <v>54.475999999999999</v>
      </c>
      <c r="F34" s="7" t="str">
        <f>INDEX({"A","B","C"},MATCH(MAX(C34:E34),C34:E34,0))</f>
        <v>B</v>
      </c>
    </row>
    <row r="35" spans="1:6" x14ac:dyDescent="0.2">
      <c r="A35" s="20">
        <v>0.6</v>
      </c>
      <c r="B35" s="21">
        <f t="shared" si="0"/>
        <v>0.08</v>
      </c>
      <c r="C35" s="17">
        <f>A35*Scores!D6+B35*(SUM(Scores!D6:D11)-Scores!D6)</f>
        <v>31.2</v>
      </c>
      <c r="D35" s="17">
        <f>A35*Scores!E6+B35*(SUM(Scores!E6:E11)-Scores!E6)</f>
        <v>68.400000000000006</v>
      </c>
      <c r="E35" s="17">
        <f>A35*Scores!F6+B35*(SUM(Scores!F6:F11)-Scores!F6)</f>
        <v>54.120000000000005</v>
      </c>
      <c r="F35" s="7" t="str">
        <f>INDEX({"A","B","C"},MATCH(MAX(C35:E35),C35:E35,0))</f>
        <v>B</v>
      </c>
    </row>
    <row r="36" spans="1:6" x14ac:dyDescent="0.2">
      <c r="A36" s="20">
        <v>0.62</v>
      </c>
      <c r="B36" s="21">
        <f t="shared" si="0"/>
        <v>7.5999999999999998E-2</v>
      </c>
      <c r="C36" s="17">
        <f>A36*Scores!D6+B36*(SUM(Scores!D6:D11)-Scores!D6)</f>
        <v>29.64</v>
      </c>
      <c r="D36" s="17">
        <f>A36*Scores!E6+B36*(SUM(Scores!E6:E11)-Scores!E6)</f>
        <v>69.98</v>
      </c>
      <c r="E36" s="17">
        <f>A36*Scores!F6+B36*(SUM(Scores!F6:F11)-Scores!F6)</f>
        <v>53.763999999999996</v>
      </c>
      <c r="F36" s="7" t="str">
        <f>INDEX({"A","B","C"},MATCH(MAX(C36:E36),C36:E36,0))</f>
        <v>B</v>
      </c>
    </row>
    <row r="37" spans="1:6" x14ac:dyDescent="0.2">
      <c r="A37" s="20">
        <v>0.64</v>
      </c>
      <c r="B37" s="21">
        <f t="shared" ref="B37:B68" si="1">(1-A37)/5</f>
        <v>7.1999999999999995E-2</v>
      </c>
      <c r="C37" s="17">
        <f>A37*Scores!D6+B37*(SUM(Scores!D6:D11)-Scores!D6)</f>
        <v>28.08</v>
      </c>
      <c r="D37" s="17">
        <f>A37*Scores!E6+B37*(SUM(Scores!E6:E11)-Scores!E6)</f>
        <v>71.56</v>
      </c>
      <c r="E37" s="17">
        <f>A37*Scores!F6+B37*(SUM(Scores!F6:F11)-Scores!F6)</f>
        <v>53.408000000000001</v>
      </c>
      <c r="F37" s="7" t="str">
        <f>INDEX({"A","B","C"},MATCH(MAX(C37:E37),C37:E37,0))</f>
        <v>B</v>
      </c>
    </row>
    <row r="38" spans="1:6" x14ac:dyDescent="0.2">
      <c r="A38" s="20">
        <v>0.66</v>
      </c>
      <c r="B38" s="21">
        <f t="shared" si="1"/>
        <v>6.7999999999999991E-2</v>
      </c>
      <c r="C38" s="17">
        <f>A38*Scores!D6+B38*(SUM(Scores!D6:D11)-Scores!D6)</f>
        <v>26.519999999999996</v>
      </c>
      <c r="D38" s="17">
        <f>A38*Scores!E6+B38*(SUM(Scores!E6:E11)-Scores!E6)</f>
        <v>73.14</v>
      </c>
      <c r="E38" s="17">
        <f>A38*Scores!F6+B38*(SUM(Scores!F6:F11)-Scores!F6)</f>
        <v>53.052</v>
      </c>
      <c r="F38" s="7" t="str">
        <f>INDEX({"A","B","C"},MATCH(MAX(C38:E38),C38:E38,0))</f>
        <v>B</v>
      </c>
    </row>
    <row r="39" spans="1:6" x14ac:dyDescent="0.2">
      <c r="A39" s="20">
        <v>0.68</v>
      </c>
      <c r="B39" s="21">
        <f t="shared" si="1"/>
        <v>6.3999999999999987E-2</v>
      </c>
      <c r="C39" s="17">
        <f>A39*Scores!D6+B39*(SUM(Scores!D6:D11)-Scores!D6)</f>
        <v>24.959999999999994</v>
      </c>
      <c r="D39" s="17">
        <f>A39*Scores!E6+B39*(SUM(Scores!E6:E11)-Scores!E6)</f>
        <v>74.72</v>
      </c>
      <c r="E39" s="17">
        <f>A39*Scores!F6+B39*(SUM(Scores!F6:F11)-Scores!F6)</f>
        <v>52.695999999999998</v>
      </c>
      <c r="F39" s="7" t="str">
        <f>INDEX({"A","B","C"},MATCH(MAX(C39:E39),C39:E39,0))</f>
        <v>B</v>
      </c>
    </row>
    <row r="40" spans="1:6" x14ac:dyDescent="0.2">
      <c r="A40" s="20">
        <v>0.7</v>
      </c>
      <c r="B40" s="21">
        <f t="shared" si="1"/>
        <v>6.0000000000000012E-2</v>
      </c>
      <c r="C40" s="17">
        <f>A40*Scores!D6+B40*(SUM(Scores!D6:D11)-Scores!D6)</f>
        <v>23.400000000000006</v>
      </c>
      <c r="D40" s="17">
        <f>A40*Scores!E6+B40*(SUM(Scores!E6:E11)-Scores!E6)</f>
        <v>76.3</v>
      </c>
      <c r="E40" s="17">
        <f>A40*Scores!F6+B40*(SUM(Scores!F6:F11)-Scores!F6)</f>
        <v>52.34</v>
      </c>
      <c r="F40" s="7" t="str">
        <f>INDEX({"A","B","C"},MATCH(MAX(C40:E40),C40:E40,0))</f>
        <v>B</v>
      </c>
    </row>
    <row r="41" spans="1:6" x14ac:dyDescent="0.2">
      <c r="A41" s="20">
        <v>0.72</v>
      </c>
      <c r="B41" s="21">
        <f t="shared" si="1"/>
        <v>5.6000000000000008E-2</v>
      </c>
      <c r="C41" s="17">
        <f>A41*Scores!D6+B41*(SUM(Scores!D6:D11)-Scores!D6)</f>
        <v>21.840000000000003</v>
      </c>
      <c r="D41" s="17">
        <f>A41*Scores!E6+B41*(SUM(Scores!E6:E11)-Scores!E6)</f>
        <v>77.88</v>
      </c>
      <c r="E41" s="17">
        <f>A41*Scores!F6+B41*(SUM(Scores!F6:F11)-Scores!F6)</f>
        <v>51.983999999999995</v>
      </c>
      <c r="F41" s="7" t="str">
        <f>INDEX({"A","B","C"},MATCH(MAX(C41:E41),C41:E41,0))</f>
        <v>B</v>
      </c>
    </row>
    <row r="42" spans="1:6" x14ac:dyDescent="0.2">
      <c r="A42" s="20">
        <v>0.74</v>
      </c>
      <c r="B42" s="21">
        <f t="shared" si="1"/>
        <v>5.2000000000000005E-2</v>
      </c>
      <c r="C42" s="17">
        <f>A42*Scores!D6+B42*(SUM(Scores!D6:D11)-Scores!D6)</f>
        <v>20.28</v>
      </c>
      <c r="D42" s="17">
        <f>A42*Scores!E6+B42*(SUM(Scores!E6:E11)-Scores!E6)</f>
        <v>79.460000000000008</v>
      </c>
      <c r="E42" s="17">
        <f>A42*Scores!F6+B42*(SUM(Scores!F6:F11)-Scores!F6)</f>
        <v>51.628</v>
      </c>
      <c r="F42" s="7" t="str">
        <f>INDEX({"A","B","C"},MATCH(MAX(C42:E42),C42:E42,0))</f>
        <v>B</v>
      </c>
    </row>
    <row r="43" spans="1:6" x14ac:dyDescent="0.2">
      <c r="A43" s="20">
        <v>0.76</v>
      </c>
      <c r="B43" s="21">
        <f t="shared" si="1"/>
        <v>4.8000000000000001E-2</v>
      </c>
      <c r="C43" s="17">
        <f>A43*Scores!D6+B43*(SUM(Scores!D6:D11)-Scores!D6)</f>
        <v>18.72</v>
      </c>
      <c r="D43" s="17">
        <f>A43*Scores!E6+B43*(SUM(Scores!E6:E11)-Scores!E6)</f>
        <v>81.040000000000006</v>
      </c>
      <c r="E43" s="17">
        <f>A43*Scores!F6+B43*(SUM(Scores!F6:F11)-Scores!F6)</f>
        <v>51.271999999999998</v>
      </c>
      <c r="F43" s="7" t="str">
        <f>INDEX({"A","B","C"},MATCH(MAX(C43:E43),C43:E43,0))</f>
        <v>B</v>
      </c>
    </row>
    <row r="44" spans="1:6" x14ac:dyDescent="0.2">
      <c r="A44" s="20">
        <v>0.78</v>
      </c>
      <c r="B44" s="21">
        <f t="shared" si="1"/>
        <v>4.3999999999999997E-2</v>
      </c>
      <c r="C44" s="17">
        <f>A44*Scores!D6+B44*(SUM(Scores!D6:D11)-Scores!D6)</f>
        <v>17.16</v>
      </c>
      <c r="D44" s="17">
        <f>A44*Scores!E6+B44*(SUM(Scores!E6:E11)-Scores!E6)</f>
        <v>82.62</v>
      </c>
      <c r="E44" s="17">
        <f>A44*Scores!F6+B44*(SUM(Scores!F6:F11)-Scores!F6)</f>
        <v>50.916000000000004</v>
      </c>
      <c r="F44" s="7" t="str">
        <f>INDEX({"A","B","C"},MATCH(MAX(C44:E44),C44:E44,0))</f>
        <v>B</v>
      </c>
    </row>
    <row r="45" spans="1:6" x14ac:dyDescent="0.2">
      <c r="A45" s="20">
        <v>0.8</v>
      </c>
      <c r="B45" s="21">
        <f t="shared" si="1"/>
        <v>3.9999999999999994E-2</v>
      </c>
      <c r="C45" s="17">
        <f>A45*Scores!D6+B45*(SUM(Scores!D6:D11)-Scores!D6)</f>
        <v>15.599999999999998</v>
      </c>
      <c r="D45" s="17">
        <f>A45*Scores!E6+B45*(SUM(Scores!E6:E11)-Scores!E6)</f>
        <v>84.2</v>
      </c>
      <c r="E45" s="17">
        <f>A45*Scores!F6+B45*(SUM(Scores!F6:F11)-Scores!F6)</f>
        <v>50.56</v>
      </c>
      <c r="F45" s="7" t="str">
        <f>INDEX({"A","B","C"},MATCH(MAX(C45:E45),C45:E45,0))</f>
        <v>B</v>
      </c>
    </row>
    <row r="46" spans="1:6" x14ac:dyDescent="0.2">
      <c r="A46" s="20">
        <v>0.82</v>
      </c>
      <c r="B46" s="21">
        <f t="shared" si="1"/>
        <v>3.6000000000000011E-2</v>
      </c>
      <c r="C46" s="17">
        <f>A46*Scores!D6+B46*(SUM(Scores!D6:D11)-Scores!D6)</f>
        <v>14.040000000000004</v>
      </c>
      <c r="D46" s="17">
        <f>A46*Scores!E6+B46*(SUM(Scores!E6:E11)-Scores!E6)</f>
        <v>85.78</v>
      </c>
      <c r="E46" s="17">
        <f>A46*Scores!F6+B46*(SUM(Scores!F6:F11)-Scores!F6)</f>
        <v>50.204000000000001</v>
      </c>
      <c r="F46" s="7" t="str">
        <f>INDEX({"A","B","C"},MATCH(MAX(C46:E46),C46:E46,0))</f>
        <v>B</v>
      </c>
    </row>
    <row r="47" spans="1:6" x14ac:dyDescent="0.2">
      <c r="A47" s="20">
        <v>0.84</v>
      </c>
      <c r="B47" s="21">
        <f t="shared" si="1"/>
        <v>3.2000000000000008E-2</v>
      </c>
      <c r="C47" s="17">
        <f>A47*Scores!D6+B47*(SUM(Scores!D6:D11)-Scores!D6)</f>
        <v>12.480000000000002</v>
      </c>
      <c r="D47" s="17">
        <f>A47*Scores!E6+B47*(SUM(Scores!E6:E11)-Scores!E6)</f>
        <v>87.36</v>
      </c>
      <c r="E47" s="17">
        <f>A47*Scores!F6+B47*(SUM(Scores!F6:F11)-Scores!F6)</f>
        <v>49.847999999999999</v>
      </c>
      <c r="F47" s="7" t="str">
        <f>INDEX({"A","B","C"},MATCH(MAX(C47:E47),C47:E47,0))</f>
        <v>B</v>
      </c>
    </row>
    <row r="48" spans="1:6" x14ac:dyDescent="0.2">
      <c r="A48" s="20">
        <v>0.86</v>
      </c>
      <c r="B48" s="21">
        <f t="shared" si="1"/>
        <v>2.8000000000000004E-2</v>
      </c>
      <c r="C48" s="17">
        <f>A48*Scores!D6+B48*(SUM(Scores!D6:D11)-Scores!D6)</f>
        <v>10.920000000000002</v>
      </c>
      <c r="D48" s="17">
        <f>A48*Scores!E6+B48*(SUM(Scores!E6:E11)-Scores!E6)</f>
        <v>88.94</v>
      </c>
      <c r="E48" s="17">
        <f>A48*Scores!F6+B48*(SUM(Scores!F6:F11)-Scores!F6)</f>
        <v>49.492000000000004</v>
      </c>
      <c r="F48" s="7" t="str">
        <f>INDEX({"A","B","C"},MATCH(MAX(C48:E48),C48:E48,0))</f>
        <v>B</v>
      </c>
    </row>
    <row r="49" spans="1:6" x14ac:dyDescent="0.2">
      <c r="A49" s="20">
        <v>0.88</v>
      </c>
      <c r="B49" s="21">
        <f t="shared" si="1"/>
        <v>2.4E-2</v>
      </c>
      <c r="C49" s="17">
        <f>A49*Scores!D6+B49*(SUM(Scores!D6:D11)-Scores!D6)</f>
        <v>9.36</v>
      </c>
      <c r="D49" s="17">
        <f>A49*Scores!E6+B49*(SUM(Scores!E6:E11)-Scores!E6)</f>
        <v>90.52</v>
      </c>
      <c r="E49" s="17">
        <f>A49*Scores!F6+B49*(SUM(Scores!F6:F11)-Scores!F6)</f>
        <v>49.135999999999996</v>
      </c>
      <c r="F49" s="7" t="str">
        <f>INDEX({"A","B","C"},MATCH(MAX(C49:E49),C49:E49,0))</f>
        <v>B</v>
      </c>
    </row>
    <row r="50" spans="1:6" x14ac:dyDescent="0.2">
      <c r="A50" s="20">
        <v>0.9</v>
      </c>
      <c r="B50" s="21">
        <f t="shared" si="1"/>
        <v>1.9999999999999997E-2</v>
      </c>
      <c r="C50" s="17">
        <f>A50*Scores!D6+B50*(SUM(Scores!D6:D11)-Scores!D6)</f>
        <v>7.7999999999999989</v>
      </c>
      <c r="D50" s="17">
        <f>A50*Scores!E6+B50*(SUM(Scores!E6:E11)-Scores!E6)</f>
        <v>92.1</v>
      </c>
      <c r="E50" s="17">
        <f>A50*Scores!F6+B50*(SUM(Scores!F6:F11)-Scores!F6)</f>
        <v>48.78</v>
      </c>
      <c r="F50" s="7" t="str">
        <f>INDEX({"A","B","C"},MATCH(MAX(C50:E50),C50:E50,0))</f>
        <v>B</v>
      </c>
    </row>
    <row r="51" spans="1:6" x14ac:dyDescent="0.2">
      <c r="A51" s="20">
        <v>0.92</v>
      </c>
      <c r="B51" s="21">
        <f t="shared" si="1"/>
        <v>1.5999999999999993E-2</v>
      </c>
      <c r="C51" s="17">
        <f>A51*Scores!D6+B51*(SUM(Scores!D6:D11)-Scores!D6)</f>
        <v>6.2399999999999975</v>
      </c>
      <c r="D51" s="17">
        <f>A51*Scores!E6+B51*(SUM(Scores!E6:E11)-Scores!E6)</f>
        <v>93.679999999999993</v>
      </c>
      <c r="E51" s="17">
        <f>A51*Scores!F6+B51*(SUM(Scores!F6:F11)-Scores!F6)</f>
        <v>48.423999999999999</v>
      </c>
      <c r="F51" s="7" t="str">
        <f>INDEX({"A","B","C"},MATCH(MAX(C51:E51),C51:E51,0))</f>
        <v>B</v>
      </c>
    </row>
    <row r="52" spans="1:6" x14ac:dyDescent="0.2">
      <c r="A52" s="20">
        <v>0.94</v>
      </c>
      <c r="B52" s="21">
        <f t="shared" si="1"/>
        <v>1.2000000000000011E-2</v>
      </c>
      <c r="C52" s="17">
        <f>A52*Scores!D6+B52*(SUM(Scores!D6:D11)-Scores!D6)</f>
        <v>4.6800000000000042</v>
      </c>
      <c r="D52" s="17">
        <f>A52*Scores!E6+B52*(SUM(Scores!E6:E11)-Scores!E6)</f>
        <v>95.26</v>
      </c>
      <c r="E52" s="17">
        <f>A52*Scores!F6+B52*(SUM(Scores!F6:F11)-Scores!F6)</f>
        <v>48.068000000000005</v>
      </c>
      <c r="F52" s="7" t="str">
        <f>INDEX({"A","B","C"},MATCH(MAX(C52:E52),C52:E52,0))</f>
        <v>B</v>
      </c>
    </row>
    <row r="53" spans="1:6" x14ac:dyDescent="0.2">
      <c r="A53" s="20">
        <v>0.96</v>
      </c>
      <c r="B53" s="21">
        <f t="shared" si="1"/>
        <v>8.0000000000000071E-3</v>
      </c>
      <c r="C53" s="17">
        <f>A53*Scores!D6+B53*(SUM(Scores!D6:D11)-Scores!D6)</f>
        <v>3.1200000000000028</v>
      </c>
      <c r="D53" s="17">
        <f>A53*Scores!E6+B53*(SUM(Scores!E6:E11)-Scores!E6)</f>
        <v>96.84</v>
      </c>
      <c r="E53" s="17">
        <f>A53*Scores!F6+B53*(SUM(Scores!F6:F11)-Scores!F6)</f>
        <v>47.712000000000003</v>
      </c>
      <c r="F53" s="7" t="str">
        <f>INDEX({"A","B","C"},MATCH(MAX(C53:E53),C53:E53,0))</f>
        <v>B</v>
      </c>
    </row>
    <row r="54" spans="1:6" x14ac:dyDescent="0.2">
      <c r="A54" s="20">
        <v>0.98</v>
      </c>
      <c r="B54" s="21">
        <f t="shared" si="1"/>
        <v>4.0000000000000036E-3</v>
      </c>
      <c r="C54" s="17">
        <f>A54*Scores!D6+B54*(SUM(Scores!D6:D11)-Scores!D6)</f>
        <v>1.5600000000000014</v>
      </c>
      <c r="D54" s="17">
        <f>A54*Scores!E6+B54*(SUM(Scores!E6:E11)-Scores!E6)</f>
        <v>98.42</v>
      </c>
      <c r="E54" s="17">
        <f>A54*Scores!F6+B54*(SUM(Scores!F6:F11)-Scores!F6)</f>
        <v>47.356000000000002</v>
      </c>
      <c r="F54" s="7" t="str">
        <f>INDEX({"A","B","C"},MATCH(MAX(C54:E54),C54:E54,0))</f>
        <v>B</v>
      </c>
    </row>
    <row r="55" spans="1:6" x14ac:dyDescent="0.2">
      <c r="A55" s="20">
        <v>1</v>
      </c>
      <c r="B55" s="21">
        <f t="shared" si="1"/>
        <v>0</v>
      </c>
      <c r="C55" s="17">
        <f>A55*Scores!D6+B55*(SUM(Scores!D6:D11)-Scores!D6)</f>
        <v>0</v>
      </c>
      <c r="D55" s="17">
        <f>A55*Scores!E6+B55*(SUM(Scores!E6:E11)-Scores!E6)</f>
        <v>100</v>
      </c>
      <c r="E55" s="17">
        <f>A55*Scores!F6+B55*(SUM(Scores!F6:F11)-Scores!F6)</f>
        <v>47</v>
      </c>
      <c r="F55" s="7" t="str">
        <f>INDEX({"A","B","C"},MATCH(MAX(C55:E55),C55:E55,0))</f>
        <v>B</v>
      </c>
    </row>
    <row r="57" spans="1:6" x14ac:dyDescent="0.2">
      <c r="A57" s="2" t="s">
        <v>55</v>
      </c>
      <c r="B57" s="2"/>
      <c r="C57" s="22">
        <f>IFERROR(((SUM(Scores!F6:F11)-Scores!F6)-(SUM(Scores!E6:E11)-Scores!E6))/(5*(Scores!E6-Scores!F6)+(SUM(Scores!F6:F11)-Scores!F6)-(SUM(Scores!E6:E11)-Scores!E6)),"undefined")</f>
        <v>0.4524793388429752</v>
      </c>
    </row>
    <row r="58" spans="1:6" x14ac:dyDescent="0.2">
      <c r="A58" s="2" t="s">
        <v>56</v>
      </c>
      <c r="B58" s="2"/>
      <c r="C58" s="22">
        <f>IFERROR(((SUM(Scores!F6:F11)-Scores!F6)-(SUM(Scores!D6:D11)-Scores!D6))/(5*(Scores!D6-Scores!F6)+(SUM(Scores!F6:F11)-Scores!F6)-(SUM(Scores!D6:D11)-Scores!D6)),"undefined")</f>
        <v>0.21926910299003322</v>
      </c>
    </row>
    <row r="60" spans="1:6" ht="15" customHeight="1" x14ac:dyDescent="0.2">
      <c r="A60" s="3" t="s">
        <v>57</v>
      </c>
      <c r="B60" s="3"/>
      <c r="C60" s="3"/>
      <c r="D60" s="3"/>
      <c r="E60" s="3"/>
      <c r="F60" s="3"/>
    </row>
    <row r="61" spans="1:6" x14ac:dyDescent="0.2">
      <c r="A61" s="3"/>
      <c r="B61" s="3"/>
      <c r="C61" s="3"/>
      <c r="D61" s="3"/>
      <c r="E61" s="3"/>
      <c r="F61" s="3"/>
    </row>
  </sheetData>
  <mergeCells count="5">
    <mergeCell ref="A1:F1"/>
    <mergeCell ref="A2:F3"/>
    <mergeCell ref="A57:B57"/>
    <mergeCell ref="A58:B58"/>
    <mergeCell ref="A60:F6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6" width="12" customWidth="1"/>
  </cols>
  <sheetData>
    <row r="1" spans="1:6" ht="18" x14ac:dyDescent="0.2">
      <c r="A1" s="4" t="s">
        <v>58</v>
      </c>
      <c r="B1" s="4"/>
      <c r="C1" s="4"/>
      <c r="D1" s="4"/>
      <c r="E1" s="4"/>
      <c r="F1" s="4"/>
    </row>
    <row r="2" spans="1:6" ht="15" customHeight="1" x14ac:dyDescent="0.2">
      <c r="A2" s="3" t="s">
        <v>59</v>
      </c>
      <c r="B2" s="3"/>
      <c r="C2" s="3"/>
      <c r="D2" s="3"/>
      <c r="E2" s="3"/>
      <c r="F2" s="3"/>
    </row>
    <row r="3" spans="1:6" x14ac:dyDescent="0.2">
      <c r="A3" s="3"/>
      <c r="B3" s="3"/>
      <c r="C3" s="3"/>
      <c r="D3" s="3"/>
      <c r="E3" s="3"/>
      <c r="F3" s="3"/>
    </row>
    <row r="4" spans="1:6" x14ac:dyDescent="0.2">
      <c r="A4" s="6" t="s">
        <v>60</v>
      </c>
      <c r="B4" s="6" t="s">
        <v>53</v>
      </c>
      <c r="C4" s="6" t="s">
        <v>6</v>
      </c>
      <c r="D4" s="6" t="s">
        <v>7</v>
      </c>
      <c r="E4" s="6" t="s">
        <v>8</v>
      </c>
      <c r="F4" s="6" t="s">
        <v>54</v>
      </c>
    </row>
    <row r="5" spans="1:6" x14ac:dyDescent="0.2">
      <c r="A5" s="20">
        <v>0</v>
      </c>
      <c r="B5" s="21">
        <f t="shared" ref="B5:B36" si="0">(1-A5)/5</f>
        <v>0.2</v>
      </c>
      <c r="C5" s="17">
        <f>A5*Scores!D7+B5*(SUM(Scores!D6:D11)-Scores!D7)</f>
        <v>58</v>
      </c>
      <c r="D5" s="17">
        <f>A5*Scores!E7+B5*(SUM(Scores!E6:E11)-Scores!E7)</f>
        <v>41</v>
      </c>
      <c r="E5" s="17">
        <f>A5*Scores!F7+B5*(SUM(Scores!F6:F11)-Scores!F7)</f>
        <v>62.400000000000006</v>
      </c>
      <c r="F5" s="7" t="str">
        <f>INDEX({"A","B","C"},MATCH(MAX(C5:E5),C5:E5,0))</f>
        <v>C</v>
      </c>
    </row>
    <row r="6" spans="1:6" x14ac:dyDescent="0.2">
      <c r="A6" s="20">
        <v>0.02</v>
      </c>
      <c r="B6" s="21">
        <f t="shared" si="0"/>
        <v>0.19600000000000001</v>
      </c>
      <c r="C6" s="17">
        <f>A6*Scores!D7+B6*(SUM(Scores!D6:D11)-Scores!D7)</f>
        <v>58.84</v>
      </c>
      <c r="D6" s="17">
        <f>A6*Scores!E7+B6*(SUM(Scores!E6:E11)-Scores!E7)</f>
        <v>40.18</v>
      </c>
      <c r="E6" s="17">
        <f>A6*Scores!F7+B6*(SUM(Scores!F6:F11)-Scores!F7)</f>
        <v>62.332000000000001</v>
      </c>
      <c r="F6" s="7" t="str">
        <f>INDEX({"A","B","C"},MATCH(MAX(C6:E6),C6:E6,0))</f>
        <v>C</v>
      </c>
    </row>
    <row r="7" spans="1:6" x14ac:dyDescent="0.2">
      <c r="A7" s="20">
        <v>0.04</v>
      </c>
      <c r="B7" s="21">
        <f t="shared" si="0"/>
        <v>0.192</v>
      </c>
      <c r="C7" s="17">
        <f>A7*Scores!D7+B7*(SUM(Scores!D6:D11)-Scores!D7)</f>
        <v>59.68</v>
      </c>
      <c r="D7" s="17">
        <f>A7*Scores!E7+B7*(SUM(Scores!E6:E11)-Scores!E7)</f>
        <v>39.36</v>
      </c>
      <c r="E7" s="17">
        <f>A7*Scores!F7+B7*(SUM(Scores!F6:F11)-Scores!F7)</f>
        <v>62.264000000000003</v>
      </c>
      <c r="F7" s="7" t="str">
        <f>INDEX({"A","B","C"},MATCH(MAX(C7:E7),C7:E7,0))</f>
        <v>C</v>
      </c>
    </row>
    <row r="8" spans="1:6" x14ac:dyDescent="0.2">
      <c r="A8" s="20">
        <v>0.06</v>
      </c>
      <c r="B8" s="21">
        <f t="shared" si="0"/>
        <v>0.188</v>
      </c>
      <c r="C8" s="17">
        <f>A8*Scores!D7+B8*(SUM(Scores!D6:D11)-Scores!D7)</f>
        <v>60.52</v>
      </c>
      <c r="D8" s="17">
        <f>A8*Scores!E7+B8*(SUM(Scores!E6:E11)-Scores!E7)</f>
        <v>38.54</v>
      </c>
      <c r="E8" s="17">
        <f>A8*Scores!F7+B8*(SUM(Scores!F6:F11)-Scores!F7)</f>
        <v>62.195999999999998</v>
      </c>
      <c r="F8" s="7" t="str">
        <f>INDEX({"A","B","C"},MATCH(MAX(C8:E8),C8:E8,0))</f>
        <v>C</v>
      </c>
    </row>
    <row r="9" spans="1:6" x14ac:dyDescent="0.2">
      <c r="A9" s="20">
        <v>0.08</v>
      </c>
      <c r="B9" s="21">
        <f t="shared" si="0"/>
        <v>0.184</v>
      </c>
      <c r="C9" s="17">
        <f>A9*Scores!D7+B9*(SUM(Scores!D6:D11)-Scores!D7)</f>
        <v>61.36</v>
      </c>
      <c r="D9" s="17">
        <f>A9*Scores!E7+B9*(SUM(Scores!E6:E11)-Scores!E7)</f>
        <v>37.72</v>
      </c>
      <c r="E9" s="17">
        <f>A9*Scores!F7+B9*(SUM(Scores!F6:F11)-Scores!F7)</f>
        <v>62.128</v>
      </c>
      <c r="F9" s="7" t="str">
        <f>INDEX({"A","B","C"},MATCH(MAX(C9:E9),C9:E9,0))</f>
        <v>C</v>
      </c>
    </row>
    <row r="10" spans="1:6" x14ac:dyDescent="0.2">
      <c r="A10" s="20">
        <v>0.1</v>
      </c>
      <c r="B10" s="21">
        <f t="shared" si="0"/>
        <v>0.18</v>
      </c>
      <c r="C10" s="17">
        <f>A10*Scores!D7+B10*(SUM(Scores!D6:D11)-Scores!D7)</f>
        <v>62.199999999999996</v>
      </c>
      <c r="D10" s="17">
        <f>A10*Scores!E7+B10*(SUM(Scores!E6:E11)-Scores!E7)</f>
        <v>36.9</v>
      </c>
      <c r="E10" s="17">
        <f>A10*Scores!F7+B10*(SUM(Scores!F6:F11)-Scores!F7)</f>
        <v>62.059999999999995</v>
      </c>
      <c r="F10" s="7" t="str">
        <f>INDEX({"A","B","C"},MATCH(MAX(C10:E10),C10:E10,0))</f>
        <v>A</v>
      </c>
    </row>
    <row r="11" spans="1:6" x14ac:dyDescent="0.2">
      <c r="A11" s="20">
        <v>0.12</v>
      </c>
      <c r="B11" s="21">
        <f t="shared" si="0"/>
        <v>0.17599999999999999</v>
      </c>
      <c r="C11" s="17">
        <f>A11*Scores!D7+B11*(SUM(Scores!D6:D11)-Scores!D7)</f>
        <v>63.04</v>
      </c>
      <c r="D11" s="17">
        <f>A11*Scores!E7+B11*(SUM(Scores!E6:E11)-Scores!E7)</f>
        <v>36.08</v>
      </c>
      <c r="E11" s="17">
        <f>A11*Scores!F7+B11*(SUM(Scores!F6:F11)-Scores!F7)</f>
        <v>61.991999999999997</v>
      </c>
      <c r="F11" s="7" t="str">
        <f>INDEX({"A","B","C"},MATCH(MAX(C11:E11),C11:E11,0))</f>
        <v>A</v>
      </c>
    </row>
    <row r="12" spans="1:6" x14ac:dyDescent="0.2">
      <c r="A12" s="20">
        <v>0.14000000000000001</v>
      </c>
      <c r="B12" s="21">
        <f t="shared" si="0"/>
        <v>0.17199999999999999</v>
      </c>
      <c r="C12" s="17">
        <f>A12*Scores!D7+B12*(SUM(Scores!D6:D11)-Scores!D7)</f>
        <v>63.879999999999995</v>
      </c>
      <c r="D12" s="17">
        <f>A12*Scores!E7+B12*(SUM(Scores!E6:E11)-Scores!E7)</f>
        <v>35.26</v>
      </c>
      <c r="E12" s="17">
        <f>A12*Scores!F7+B12*(SUM(Scores!F6:F11)-Scores!F7)</f>
        <v>61.923999999999992</v>
      </c>
      <c r="F12" s="7" t="str">
        <f>INDEX({"A","B","C"},MATCH(MAX(C12:E12),C12:E12,0))</f>
        <v>A</v>
      </c>
    </row>
    <row r="13" spans="1:6" x14ac:dyDescent="0.2">
      <c r="A13" s="20">
        <v>0.16</v>
      </c>
      <c r="B13" s="21">
        <f t="shared" si="0"/>
        <v>0.16799999999999998</v>
      </c>
      <c r="C13" s="17">
        <f>A13*Scores!D7+B13*(SUM(Scores!D6:D11)-Scores!D7)</f>
        <v>64.72</v>
      </c>
      <c r="D13" s="17">
        <f>A13*Scores!E7+B13*(SUM(Scores!E6:E11)-Scores!E7)</f>
        <v>34.44</v>
      </c>
      <c r="E13" s="17">
        <f>A13*Scores!F7+B13*(SUM(Scores!F6:F11)-Scores!F7)</f>
        <v>61.855999999999995</v>
      </c>
      <c r="F13" s="7" t="str">
        <f>INDEX({"A","B","C"},MATCH(MAX(C13:E13),C13:E13,0))</f>
        <v>A</v>
      </c>
    </row>
    <row r="14" spans="1:6" x14ac:dyDescent="0.2">
      <c r="A14" s="20">
        <v>0.18</v>
      </c>
      <c r="B14" s="21">
        <f t="shared" si="0"/>
        <v>0.16400000000000001</v>
      </c>
      <c r="C14" s="17">
        <f>A14*Scores!D7+B14*(SUM(Scores!D6:D11)-Scores!D7)</f>
        <v>65.56</v>
      </c>
      <c r="D14" s="17">
        <f>A14*Scores!E7+B14*(SUM(Scores!E6:E11)-Scores!E7)</f>
        <v>33.620000000000005</v>
      </c>
      <c r="E14" s="17">
        <f>A14*Scores!F7+B14*(SUM(Scores!F6:F11)-Scores!F7)</f>
        <v>61.787999999999997</v>
      </c>
      <c r="F14" s="7" t="str">
        <f>INDEX({"A","B","C"},MATCH(MAX(C14:E14),C14:E14,0))</f>
        <v>A</v>
      </c>
    </row>
    <row r="15" spans="1:6" x14ac:dyDescent="0.2">
      <c r="A15" s="20">
        <v>0.2</v>
      </c>
      <c r="B15" s="21">
        <f t="shared" si="0"/>
        <v>0.16</v>
      </c>
      <c r="C15" s="17">
        <f>A15*Scores!D7+B15*(SUM(Scores!D6:D11)-Scores!D7)</f>
        <v>66.400000000000006</v>
      </c>
      <c r="D15" s="17">
        <f>A15*Scores!E7+B15*(SUM(Scores!E6:E11)-Scores!E7)</f>
        <v>32.799999999999997</v>
      </c>
      <c r="E15" s="17">
        <f>A15*Scores!F7+B15*(SUM(Scores!F6:F11)-Scores!F7)</f>
        <v>61.72</v>
      </c>
      <c r="F15" s="7" t="str">
        <f>INDEX({"A","B","C"},MATCH(MAX(C15:E15),C15:E15,0))</f>
        <v>A</v>
      </c>
    </row>
    <row r="16" spans="1:6" x14ac:dyDescent="0.2">
      <c r="A16" s="20">
        <v>0.22</v>
      </c>
      <c r="B16" s="21">
        <f t="shared" si="0"/>
        <v>0.156</v>
      </c>
      <c r="C16" s="17">
        <f>A16*Scores!D7+B16*(SUM(Scores!D6:D11)-Scores!D7)</f>
        <v>67.240000000000009</v>
      </c>
      <c r="D16" s="17">
        <f>A16*Scores!E7+B16*(SUM(Scores!E6:E11)-Scores!E7)</f>
        <v>31.98</v>
      </c>
      <c r="E16" s="17">
        <f>A16*Scores!F7+B16*(SUM(Scores!F6:F11)-Scores!F7)</f>
        <v>61.652000000000001</v>
      </c>
      <c r="F16" s="7" t="str">
        <f>INDEX({"A","B","C"},MATCH(MAX(C16:E16),C16:E16,0))</f>
        <v>A</v>
      </c>
    </row>
    <row r="17" spans="1:6" x14ac:dyDescent="0.2">
      <c r="A17" s="20">
        <v>0.24</v>
      </c>
      <c r="B17" s="21">
        <f t="shared" si="0"/>
        <v>0.152</v>
      </c>
      <c r="C17" s="17">
        <f>A17*Scores!D7+B17*(SUM(Scores!D6:D11)-Scores!D7)</f>
        <v>68.08</v>
      </c>
      <c r="D17" s="17">
        <f>A17*Scores!E7+B17*(SUM(Scores!E6:E11)-Scores!E7)</f>
        <v>31.16</v>
      </c>
      <c r="E17" s="17">
        <f>A17*Scores!F7+B17*(SUM(Scores!F6:F11)-Scores!F7)</f>
        <v>61.584000000000003</v>
      </c>
      <c r="F17" s="7" t="str">
        <f>INDEX({"A","B","C"},MATCH(MAX(C17:E17),C17:E17,0))</f>
        <v>A</v>
      </c>
    </row>
    <row r="18" spans="1:6" x14ac:dyDescent="0.2">
      <c r="A18" s="20">
        <v>0.26</v>
      </c>
      <c r="B18" s="21">
        <f t="shared" si="0"/>
        <v>0.14799999999999999</v>
      </c>
      <c r="C18" s="17">
        <f>A18*Scores!D7+B18*(SUM(Scores!D6:D11)-Scores!D7)</f>
        <v>68.919999999999987</v>
      </c>
      <c r="D18" s="17">
        <f>A18*Scores!E7+B18*(SUM(Scores!E6:E11)-Scores!E7)</f>
        <v>30.34</v>
      </c>
      <c r="E18" s="17">
        <f>A18*Scores!F7+B18*(SUM(Scores!F6:F11)-Scores!F7)</f>
        <v>61.515999999999991</v>
      </c>
      <c r="F18" s="7" t="str">
        <f>INDEX({"A","B","C"},MATCH(MAX(C18:E18),C18:E18,0))</f>
        <v>A</v>
      </c>
    </row>
    <row r="19" spans="1:6" x14ac:dyDescent="0.2">
      <c r="A19" s="20">
        <v>0.28000000000000003</v>
      </c>
      <c r="B19" s="21">
        <f t="shared" si="0"/>
        <v>0.14399999999999999</v>
      </c>
      <c r="C19" s="17">
        <f>A19*Scores!D7+B19*(SUM(Scores!D6:D11)-Scores!D7)</f>
        <v>69.760000000000005</v>
      </c>
      <c r="D19" s="17">
        <f>A19*Scores!E7+B19*(SUM(Scores!E6:E11)-Scores!E7)</f>
        <v>29.519999999999996</v>
      </c>
      <c r="E19" s="17">
        <f>A19*Scores!F7+B19*(SUM(Scores!F6:F11)-Scores!F7)</f>
        <v>61.448</v>
      </c>
      <c r="F19" s="7" t="str">
        <f>INDEX({"A","B","C"},MATCH(MAX(C19:E19),C19:E19,0))</f>
        <v>A</v>
      </c>
    </row>
    <row r="20" spans="1:6" x14ac:dyDescent="0.2">
      <c r="A20" s="20">
        <v>0.3</v>
      </c>
      <c r="B20" s="21">
        <f t="shared" si="0"/>
        <v>0.13999999999999999</v>
      </c>
      <c r="C20" s="17">
        <f>A20*Scores!D7+B20*(SUM(Scores!D6:D11)-Scores!D7)</f>
        <v>70.599999999999994</v>
      </c>
      <c r="D20" s="17">
        <f>A20*Scores!E7+B20*(SUM(Scores!E6:E11)-Scores!E7)</f>
        <v>28.699999999999996</v>
      </c>
      <c r="E20" s="17">
        <f>A20*Scores!F7+B20*(SUM(Scores!F6:F11)-Scores!F7)</f>
        <v>61.379999999999995</v>
      </c>
      <c r="F20" s="7" t="str">
        <f>INDEX({"A","B","C"},MATCH(MAX(C20:E20),C20:E20,0))</f>
        <v>A</v>
      </c>
    </row>
    <row r="21" spans="1:6" x14ac:dyDescent="0.2">
      <c r="A21" s="20">
        <v>0.32</v>
      </c>
      <c r="B21" s="21">
        <f t="shared" si="0"/>
        <v>0.13599999999999998</v>
      </c>
      <c r="C21" s="17">
        <f>A21*Scores!D7+B21*(SUM(Scores!D6:D11)-Scores!D7)</f>
        <v>71.44</v>
      </c>
      <c r="D21" s="17">
        <f>A21*Scores!E7+B21*(SUM(Scores!E6:E11)-Scores!E7)</f>
        <v>27.879999999999995</v>
      </c>
      <c r="E21" s="17">
        <f>A21*Scores!F7+B21*(SUM(Scores!F6:F11)-Scores!F7)</f>
        <v>61.311999999999998</v>
      </c>
      <c r="F21" s="7" t="str">
        <f>INDEX({"A","B","C"},MATCH(MAX(C21:E21),C21:E21,0))</f>
        <v>A</v>
      </c>
    </row>
    <row r="22" spans="1:6" x14ac:dyDescent="0.2">
      <c r="A22" s="20">
        <v>0.34</v>
      </c>
      <c r="B22" s="21">
        <f t="shared" si="0"/>
        <v>0.13199999999999998</v>
      </c>
      <c r="C22" s="17">
        <f>A22*Scores!D7+B22*(SUM(Scores!D6:D11)-Scores!D7)</f>
        <v>72.28</v>
      </c>
      <c r="D22" s="17">
        <f>A22*Scores!E7+B22*(SUM(Scores!E6:E11)-Scores!E7)</f>
        <v>27.059999999999995</v>
      </c>
      <c r="E22" s="17">
        <f>A22*Scores!F7+B22*(SUM(Scores!F6:F11)-Scores!F7)</f>
        <v>61.243999999999993</v>
      </c>
      <c r="F22" s="7" t="str">
        <f>INDEX({"A","B","C"},MATCH(MAX(C22:E22),C22:E22,0))</f>
        <v>A</v>
      </c>
    </row>
    <row r="23" spans="1:6" x14ac:dyDescent="0.2">
      <c r="A23" s="20">
        <v>0.36</v>
      </c>
      <c r="B23" s="21">
        <f t="shared" si="0"/>
        <v>0.128</v>
      </c>
      <c r="C23" s="17">
        <f>A23*Scores!D7+B23*(SUM(Scores!D6:D11)-Scores!D7)</f>
        <v>73.12</v>
      </c>
      <c r="D23" s="17">
        <f>A23*Scores!E7+B23*(SUM(Scores!E6:E11)-Scores!E7)</f>
        <v>26.240000000000002</v>
      </c>
      <c r="E23" s="17">
        <f>A23*Scores!F7+B23*(SUM(Scores!F6:F11)-Scores!F7)</f>
        <v>61.176000000000002</v>
      </c>
      <c r="F23" s="7" t="str">
        <f>INDEX({"A","B","C"},MATCH(MAX(C23:E23),C23:E23,0))</f>
        <v>A</v>
      </c>
    </row>
    <row r="24" spans="1:6" x14ac:dyDescent="0.2">
      <c r="A24" s="20">
        <v>0.38</v>
      </c>
      <c r="B24" s="21">
        <f t="shared" si="0"/>
        <v>0.124</v>
      </c>
      <c r="C24" s="17">
        <f>A24*Scores!D7+B24*(SUM(Scores!D6:D11)-Scores!D7)</f>
        <v>73.960000000000008</v>
      </c>
      <c r="D24" s="17">
        <f>A24*Scores!E7+B24*(SUM(Scores!E6:E11)-Scores!E7)</f>
        <v>25.419999999999998</v>
      </c>
      <c r="E24" s="17">
        <f>A24*Scores!F7+B24*(SUM(Scores!F6:F11)-Scores!F7)</f>
        <v>61.108000000000004</v>
      </c>
      <c r="F24" s="7" t="str">
        <f>INDEX({"A","B","C"},MATCH(MAX(C24:E24),C24:E24,0))</f>
        <v>A</v>
      </c>
    </row>
    <row r="25" spans="1:6" x14ac:dyDescent="0.2">
      <c r="A25" s="20">
        <v>0.4</v>
      </c>
      <c r="B25" s="21">
        <f t="shared" si="0"/>
        <v>0.12</v>
      </c>
      <c r="C25" s="17">
        <f>A25*Scores!D7+B25*(SUM(Scores!D6:D11)-Scores!D7)</f>
        <v>74.8</v>
      </c>
      <c r="D25" s="17">
        <f>A25*Scores!E7+B25*(SUM(Scores!E6:E11)-Scores!E7)</f>
        <v>24.599999999999998</v>
      </c>
      <c r="E25" s="17">
        <f>A25*Scores!F7+B25*(SUM(Scores!F6:F11)-Scores!F7)</f>
        <v>61.04</v>
      </c>
      <c r="F25" s="7" t="str">
        <f>INDEX({"A","B","C"},MATCH(MAX(C25:E25),C25:E25,0))</f>
        <v>A</v>
      </c>
    </row>
    <row r="26" spans="1:6" x14ac:dyDescent="0.2">
      <c r="A26" s="20">
        <v>0.42</v>
      </c>
      <c r="B26" s="21">
        <f t="shared" si="0"/>
        <v>0.11600000000000002</v>
      </c>
      <c r="C26" s="17">
        <f>A26*Scores!D7+B26*(SUM(Scores!D6:D11)-Scores!D7)</f>
        <v>75.640000000000015</v>
      </c>
      <c r="D26" s="17">
        <f>A26*Scores!E7+B26*(SUM(Scores!E6:E11)-Scores!E7)</f>
        <v>23.780000000000005</v>
      </c>
      <c r="E26" s="17">
        <f>A26*Scores!F7+B26*(SUM(Scores!F6:F11)-Scores!F7)</f>
        <v>60.972000000000008</v>
      </c>
      <c r="F26" s="7" t="str">
        <f>INDEX({"A","B","C"},MATCH(MAX(C26:E26),C26:E26,0))</f>
        <v>A</v>
      </c>
    </row>
    <row r="27" spans="1:6" x14ac:dyDescent="0.2">
      <c r="A27" s="20">
        <v>0.44</v>
      </c>
      <c r="B27" s="21">
        <f t="shared" si="0"/>
        <v>0.11200000000000002</v>
      </c>
      <c r="C27" s="17">
        <f>A27*Scores!D7+B27*(SUM(Scores!D6:D11)-Scores!D7)</f>
        <v>76.48</v>
      </c>
      <c r="D27" s="17">
        <f>A27*Scores!E7+B27*(SUM(Scores!E6:E11)-Scores!E7)</f>
        <v>22.960000000000004</v>
      </c>
      <c r="E27" s="17">
        <f>A27*Scores!F7+B27*(SUM(Scores!F6:F11)-Scores!F7)</f>
        <v>60.904000000000003</v>
      </c>
      <c r="F27" s="7" t="str">
        <f>INDEX({"A","B","C"},MATCH(MAX(C27:E27),C27:E27,0))</f>
        <v>A</v>
      </c>
    </row>
    <row r="28" spans="1:6" x14ac:dyDescent="0.2">
      <c r="A28" s="20">
        <v>0.46</v>
      </c>
      <c r="B28" s="21">
        <f t="shared" si="0"/>
        <v>0.10800000000000001</v>
      </c>
      <c r="C28" s="17">
        <f>A28*Scores!D7+B28*(SUM(Scores!D6:D11)-Scores!D7)</f>
        <v>77.320000000000007</v>
      </c>
      <c r="D28" s="17">
        <f>A28*Scores!E7+B28*(SUM(Scores!E6:E11)-Scores!E7)</f>
        <v>22.140000000000004</v>
      </c>
      <c r="E28" s="17">
        <f>A28*Scores!F7+B28*(SUM(Scores!F6:F11)-Scores!F7)</f>
        <v>60.836000000000006</v>
      </c>
      <c r="F28" s="7" t="str">
        <f>INDEX({"A","B","C"},MATCH(MAX(C28:E28),C28:E28,0))</f>
        <v>A</v>
      </c>
    </row>
    <row r="29" spans="1:6" x14ac:dyDescent="0.2">
      <c r="A29" s="20">
        <v>0.48</v>
      </c>
      <c r="B29" s="21">
        <f t="shared" si="0"/>
        <v>0.10400000000000001</v>
      </c>
      <c r="C29" s="17">
        <f>A29*Scores!D7+B29*(SUM(Scores!D6:D11)-Scores!D7)</f>
        <v>78.16</v>
      </c>
      <c r="D29" s="17">
        <f>A29*Scores!E7+B29*(SUM(Scores!E6:E11)-Scores!E7)</f>
        <v>21.32</v>
      </c>
      <c r="E29" s="17">
        <f>A29*Scores!F7+B29*(SUM(Scores!F6:F11)-Scores!F7)</f>
        <v>60.768000000000001</v>
      </c>
      <c r="F29" s="7" t="str">
        <f>INDEX({"A","B","C"},MATCH(MAX(C29:E29),C29:E29,0))</f>
        <v>A</v>
      </c>
    </row>
    <row r="30" spans="1:6" x14ac:dyDescent="0.2">
      <c r="A30" s="20">
        <v>0.5</v>
      </c>
      <c r="B30" s="21">
        <f t="shared" si="0"/>
        <v>0.1</v>
      </c>
      <c r="C30" s="17">
        <f>A30*Scores!D7+B30*(SUM(Scores!D6:D11)-Scores!D7)</f>
        <v>79</v>
      </c>
      <c r="D30" s="17">
        <f>A30*Scores!E7+B30*(SUM(Scores!E6:E11)-Scores!E7)</f>
        <v>20.5</v>
      </c>
      <c r="E30" s="17">
        <f>A30*Scores!F7+B30*(SUM(Scores!F6:F11)-Scores!F7)</f>
        <v>60.7</v>
      </c>
      <c r="F30" s="7" t="str">
        <f>INDEX({"A","B","C"},MATCH(MAX(C30:E30),C30:E30,0))</f>
        <v>A</v>
      </c>
    </row>
    <row r="31" spans="1:6" x14ac:dyDescent="0.2">
      <c r="A31" s="20">
        <v>0.52</v>
      </c>
      <c r="B31" s="21">
        <f t="shared" si="0"/>
        <v>9.6000000000000002E-2</v>
      </c>
      <c r="C31" s="17">
        <f>A31*Scores!D7+B31*(SUM(Scores!D6:D11)-Scores!D7)</f>
        <v>79.84</v>
      </c>
      <c r="D31" s="17">
        <f>A31*Scores!E7+B31*(SUM(Scores!E6:E11)-Scores!E7)</f>
        <v>19.68</v>
      </c>
      <c r="E31" s="17">
        <f>A31*Scores!F7+B31*(SUM(Scores!F6:F11)-Scores!F7)</f>
        <v>60.632000000000005</v>
      </c>
      <c r="F31" s="7" t="str">
        <f>INDEX({"A","B","C"},MATCH(MAX(C31:E31),C31:E31,0))</f>
        <v>A</v>
      </c>
    </row>
    <row r="32" spans="1:6" x14ac:dyDescent="0.2">
      <c r="A32" s="20">
        <v>0.54</v>
      </c>
      <c r="B32" s="21">
        <f t="shared" si="0"/>
        <v>9.1999999999999998E-2</v>
      </c>
      <c r="C32" s="17">
        <f>A32*Scores!D7+B32*(SUM(Scores!D6:D11)-Scores!D7)</f>
        <v>80.680000000000007</v>
      </c>
      <c r="D32" s="17">
        <f>A32*Scores!E7+B32*(SUM(Scores!E6:E11)-Scores!E7)</f>
        <v>18.86</v>
      </c>
      <c r="E32" s="17">
        <f>A32*Scores!F7+B32*(SUM(Scores!F6:F11)-Scores!F7)</f>
        <v>60.564000000000007</v>
      </c>
      <c r="F32" s="7" t="str">
        <f>INDEX({"A","B","C"},MATCH(MAX(C32:E32),C32:E32,0))</f>
        <v>A</v>
      </c>
    </row>
    <row r="33" spans="1:6" x14ac:dyDescent="0.2">
      <c r="A33" s="20">
        <v>0.56000000000000005</v>
      </c>
      <c r="B33" s="21">
        <f t="shared" si="0"/>
        <v>8.7999999999999995E-2</v>
      </c>
      <c r="C33" s="17">
        <f>A33*Scores!D7+B33*(SUM(Scores!D6:D11)-Scores!D7)</f>
        <v>81.52000000000001</v>
      </c>
      <c r="D33" s="17">
        <f>A33*Scores!E7+B33*(SUM(Scores!E6:E11)-Scores!E7)</f>
        <v>18.04</v>
      </c>
      <c r="E33" s="17">
        <f>A33*Scores!F7+B33*(SUM(Scores!F6:F11)-Scores!F7)</f>
        <v>60.496000000000009</v>
      </c>
      <c r="F33" s="7" t="str">
        <f>INDEX({"A","B","C"},MATCH(MAX(C33:E33),C33:E33,0))</f>
        <v>A</v>
      </c>
    </row>
    <row r="34" spans="1:6" x14ac:dyDescent="0.2">
      <c r="A34" s="20">
        <v>0.57999999999999996</v>
      </c>
      <c r="B34" s="21">
        <f t="shared" si="0"/>
        <v>8.4000000000000005E-2</v>
      </c>
      <c r="C34" s="17">
        <f>A34*Scores!D7+B34*(SUM(Scores!D6:D11)-Scores!D7)</f>
        <v>82.36</v>
      </c>
      <c r="D34" s="17">
        <f>A34*Scores!E7+B34*(SUM(Scores!E6:E11)-Scores!E7)</f>
        <v>17.220000000000002</v>
      </c>
      <c r="E34" s="17">
        <f>A34*Scores!F7+B34*(SUM(Scores!F6:F11)-Scores!F7)</f>
        <v>60.427999999999997</v>
      </c>
      <c r="F34" s="7" t="str">
        <f>INDEX({"A","B","C"},MATCH(MAX(C34:E34),C34:E34,0))</f>
        <v>A</v>
      </c>
    </row>
    <row r="35" spans="1:6" x14ac:dyDescent="0.2">
      <c r="A35" s="20">
        <v>0.6</v>
      </c>
      <c r="B35" s="21">
        <f t="shared" si="0"/>
        <v>0.08</v>
      </c>
      <c r="C35" s="17">
        <f>A35*Scores!D7+B35*(SUM(Scores!D6:D11)-Scores!D7)</f>
        <v>83.2</v>
      </c>
      <c r="D35" s="17">
        <f>A35*Scores!E7+B35*(SUM(Scores!E6:E11)-Scores!E7)</f>
        <v>16.399999999999999</v>
      </c>
      <c r="E35" s="17">
        <f>A35*Scores!F7+B35*(SUM(Scores!F6:F11)-Scores!F7)</f>
        <v>60.36</v>
      </c>
      <c r="F35" s="7" t="str">
        <f>INDEX({"A","B","C"},MATCH(MAX(C35:E35),C35:E35,0))</f>
        <v>A</v>
      </c>
    </row>
    <row r="36" spans="1:6" x14ac:dyDescent="0.2">
      <c r="A36" s="20">
        <v>0.62</v>
      </c>
      <c r="B36" s="21">
        <f t="shared" si="0"/>
        <v>7.5999999999999998E-2</v>
      </c>
      <c r="C36" s="17">
        <f>A36*Scores!D7+B36*(SUM(Scores!D6:D11)-Scores!D7)</f>
        <v>84.039999999999992</v>
      </c>
      <c r="D36" s="17">
        <f>A36*Scores!E7+B36*(SUM(Scores!E6:E11)-Scores!E7)</f>
        <v>15.58</v>
      </c>
      <c r="E36" s="17">
        <f>A36*Scores!F7+B36*(SUM(Scores!F6:F11)-Scores!F7)</f>
        <v>60.292000000000002</v>
      </c>
      <c r="F36" s="7" t="str">
        <f>INDEX({"A","B","C"},MATCH(MAX(C36:E36),C36:E36,0))</f>
        <v>A</v>
      </c>
    </row>
    <row r="37" spans="1:6" x14ac:dyDescent="0.2">
      <c r="A37" s="20">
        <v>0.64</v>
      </c>
      <c r="B37" s="21">
        <f t="shared" ref="B37:B68" si="1">(1-A37)/5</f>
        <v>7.1999999999999995E-2</v>
      </c>
      <c r="C37" s="17">
        <f>A37*Scores!D7+B37*(SUM(Scores!D6:D11)-Scores!D7)</f>
        <v>84.88</v>
      </c>
      <c r="D37" s="17">
        <f>A37*Scores!E7+B37*(SUM(Scores!E6:E11)-Scores!E7)</f>
        <v>14.759999999999998</v>
      </c>
      <c r="E37" s="17">
        <f>A37*Scores!F7+B37*(SUM(Scores!F6:F11)-Scores!F7)</f>
        <v>60.223999999999997</v>
      </c>
      <c r="F37" s="7" t="str">
        <f>INDEX({"A","B","C"},MATCH(MAX(C37:E37),C37:E37,0))</f>
        <v>A</v>
      </c>
    </row>
    <row r="38" spans="1:6" x14ac:dyDescent="0.2">
      <c r="A38" s="20">
        <v>0.66</v>
      </c>
      <c r="B38" s="21">
        <f t="shared" si="1"/>
        <v>6.7999999999999991E-2</v>
      </c>
      <c r="C38" s="17">
        <f>A38*Scores!D7+B38*(SUM(Scores!D6:D11)-Scores!D7)</f>
        <v>85.72</v>
      </c>
      <c r="D38" s="17">
        <f>A38*Scores!E7+B38*(SUM(Scores!E6:E11)-Scores!E7)</f>
        <v>13.939999999999998</v>
      </c>
      <c r="E38" s="17">
        <f>A38*Scores!F7+B38*(SUM(Scores!F6:F11)-Scores!F7)</f>
        <v>60.156000000000006</v>
      </c>
      <c r="F38" s="7" t="str">
        <f>INDEX({"A","B","C"},MATCH(MAX(C38:E38),C38:E38,0))</f>
        <v>A</v>
      </c>
    </row>
    <row r="39" spans="1:6" x14ac:dyDescent="0.2">
      <c r="A39" s="20">
        <v>0.68</v>
      </c>
      <c r="B39" s="21">
        <f t="shared" si="1"/>
        <v>6.3999999999999987E-2</v>
      </c>
      <c r="C39" s="17">
        <f>A39*Scores!D7+B39*(SUM(Scores!D6:D11)-Scores!D7)</f>
        <v>86.56</v>
      </c>
      <c r="D39" s="17">
        <f>A39*Scores!E7+B39*(SUM(Scores!E6:E11)-Scores!E7)</f>
        <v>13.119999999999997</v>
      </c>
      <c r="E39" s="17">
        <f>A39*Scores!F7+B39*(SUM(Scores!F6:F11)-Scores!F7)</f>
        <v>60.088000000000001</v>
      </c>
      <c r="F39" s="7" t="str">
        <f>INDEX({"A","B","C"},MATCH(MAX(C39:E39),C39:E39,0))</f>
        <v>A</v>
      </c>
    </row>
    <row r="40" spans="1:6" x14ac:dyDescent="0.2">
      <c r="A40" s="20">
        <v>0.7</v>
      </c>
      <c r="B40" s="21">
        <f t="shared" si="1"/>
        <v>6.0000000000000012E-2</v>
      </c>
      <c r="C40" s="17">
        <f>A40*Scores!D7+B40*(SUM(Scores!D6:D11)-Scores!D7)</f>
        <v>87.4</v>
      </c>
      <c r="D40" s="17">
        <f>A40*Scores!E7+B40*(SUM(Scores!E6:E11)-Scores!E7)</f>
        <v>12.300000000000002</v>
      </c>
      <c r="E40" s="17">
        <f>A40*Scores!F7+B40*(SUM(Scores!F6:F11)-Scores!F7)</f>
        <v>60.019999999999996</v>
      </c>
      <c r="F40" s="7" t="str">
        <f>INDEX({"A","B","C"},MATCH(MAX(C40:E40),C40:E40,0))</f>
        <v>A</v>
      </c>
    </row>
    <row r="41" spans="1:6" x14ac:dyDescent="0.2">
      <c r="A41" s="20">
        <v>0.72</v>
      </c>
      <c r="B41" s="21">
        <f t="shared" si="1"/>
        <v>5.6000000000000008E-2</v>
      </c>
      <c r="C41" s="17">
        <f>A41*Scores!D7+B41*(SUM(Scores!D6:D11)-Scores!D7)</f>
        <v>88.240000000000009</v>
      </c>
      <c r="D41" s="17">
        <f>A41*Scores!E7+B41*(SUM(Scores!E6:E11)-Scores!E7)</f>
        <v>11.480000000000002</v>
      </c>
      <c r="E41" s="17">
        <f>A41*Scores!F7+B41*(SUM(Scores!F6:F11)-Scores!F7)</f>
        <v>59.951999999999998</v>
      </c>
      <c r="F41" s="7" t="str">
        <f>INDEX({"A","B","C"},MATCH(MAX(C41:E41),C41:E41,0))</f>
        <v>A</v>
      </c>
    </row>
    <row r="42" spans="1:6" x14ac:dyDescent="0.2">
      <c r="A42" s="20">
        <v>0.74</v>
      </c>
      <c r="B42" s="21">
        <f t="shared" si="1"/>
        <v>5.2000000000000005E-2</v>
      </c>
      <c r="C42" s="17">
        <f>A42*Scores!D7+B42*(SUM(Scores!D6:D11)-Scores!D7)</f>
        <v>89.08</v>
      </c>
      <c r="D42" s="17">
        <f>A42*Scores!E7+B42*(SUM(Scores!E6:E11)-Scores!E7)</f>
        <v>10.66</v>
      </c>
      <c r="E42" s="17">
        <f>A42*Scores!F7+B42*(SUM(Scores!F6:F11)-Scores!F7)</f>
        <v>59.884</v>
      </c>
      <c r="F42" s="7" t="str">
        <f>INDEX({"A","B","C"},MATCH(MAX(C42:E42),C42:E42,0))</f>
        <v>A</v>
      </c>
    </row>
    <row r="43" spans="1:6" x14ac:dyDescent="0.2">
      <c r="A43" s="20">
        <v>0.76</v>
      </c>
      <c r="B43" s="21">
        <f t="shared" si="1"/>
        <v>4.8000000000000001E-2</v>
      </c>
      <c r="C43" s="17">
        <f>A43*Scores!D7+B43*(SUM(Scores!D6:D11)-Scores!D7)</f>
        <v>89.92</v>
      </c>
      <c r="D43" s="17">
        <f>A43*Scores!E7+B43*(SUM(Scores!E6:E11)-Scores!E7)</f>
        <v>9.84</v>
      </c>
      <c r="E43" s="17">
        <f>A43*Scores!F7+B43*(SUM(Scores!F6:F11)-Scores!F7)</f>
        <v>59.816000000000003</v>
      </c>
      <c r="F43" s="7" t="str">
        <f>INDEX({"A","B","C"},MATCH(MAX(C43:E43),C43:E43,0))</f>
        <v>A</v>
      </c>
    </row>
    <row r="44" spans="1:6" x14ac:dyDescent="0.2">
      <c r="A44" s="20">
        <v>0.78</v>
      </c>
      <c r="B44" s="21">
        <f t="shared" si="1"/>
        <v>4.3999999999999997E-2</v>
      </c>
      <c r="C44" s="17">
        <f>A44*Scores!D7+B44*(SUM(Scores!D6:D11)-Scores!D7)</f>
        <v>90.76</v>
      </c>
      <c r="D44" s="17">
        <f>A44*Scores!E7+B44*(SUM(Scores!E6:E11)-Scores!E7)</f>
        <v>9.02</v>
      </c>
      <c r="E44" s="17">
        <f>A44*Scores!F7+B44*(SUM(Scores!F6:F11)-Scores!F7)</f>
        <v>59.748000000000005</v>
      </c>
      <c r="F44" s="7" t="str">
        <f>INDEX({"A","B","C"},MATCH(MAX(C44:E44),C44:E44,0))</f>
        <v>A</v>
      </c>
    </row>
    <row r="45" spans="1:6" x14ac:dyDescent="0.2">
      <c r="A45" s="20">
        <v>0.8</v>
      </c>
      <c r="B45" s="21">
        <f t="shared" si="1"/>
        <v>3.9999999999999994E-2</v>
      </c>
      <c r="C45" s="17">
        <f>A45*Scores!D7+B45*(SUM(Scores!D6:D11)-Scores!D7)</f>
        <v>91.6</v>
      </c>
      <c r="D45" s="17">
        <f>A45*Scores!E7+B45*(SUM(Scores!E6:E11)-Scores!E7)</f>
        <v>8.1999999999999993</v>
      </c>
      <c r="E45" s="17">
        <f>A45*Scores!F7+B45*(SUM(Scores!F6:F11)-Scores!F7)</f>
        <v>59.68</v>
      </c>
      <c r="F45" s="7" t="str">
        <f>INDEX({"A","B","C"},MATCH(MAX(C45:E45),C45:E45,0))</f>
        <v>A</v>
      </c>
    </row>
    <row r="46" spans="1:6" x14ac:dyDescent="0.2">
      <c r="A46" s="20">
        <v>0.82</v>
      </c>
      <c r="B46" s="21">
        <f t="shared" si="1"/>
        <v>3.6000000000000011E-2</v>
      </c>
      <c r="C46" s="17">
        <f>A46*Scores!D7+B46*(SUM(Scores!D6:D11)-Scores!D7)</f>
        <v>92.44</v>
      </c>
      <c r="D46" s="17">
        <f>A46*Scores!E7+B46*(SUM(Scores!E6:E11)-Scores!E7)</f>
        <v>7.3800000000000026</v>
      </c>
      <c r="E46" s="17">
        <f>A46*Scores!F7+B46*(SUM(Scores!F6:F11)-Scores!F7)</f>
        <v>59.611999999999995</v>
      </c>
      <c r="F46" s="7" t="str">
        <f>INDEX({"A","B","C"},MATCH(MAX(C46:E46),C46:E46,0))</f>
        <v>A</v>
      </c>
    </row>
    <row r="47" spans="1:6" x14ac:dyDescent="0.2">
      <c r="A47" s="20">
        <v>0.84</v>
      </c>
      <c r="B47" s="21">
        <f t="shared" si="1"/>
        <v>3.2000000000000008E-2</v>
      </c>
      <c r="C47" s="17">
        <f>A47*Scores!D7+B47*(SUM(Scores!D6:D11)-Scores!D7)</f>
        <v>93.28</v>
      </c>
      <c r="D47" s="17">
        <f>A47*Scores!E7+B47*(SUM(Scores!E6:E11)-Scores!E7)</f>
        <v>6.5600000000000014</v>
      </c>
      <c r="E47" s="17">
        <f>A47*Scores!F7+B47*(SUM(Scores!F6:F11)-Scores!F7)</f>
        <v>59.543999999999997</v>
      </c>
      <c r="F47" s="7" t="str">
        <f>INDEX({"A","B","C"},MATCH(MAX(C47:E47),C47:E47,0))</f>
        <v>A</v>
      </c>
    </row>
    <row r="48" spans="1:6" x14ac:dyDescent="0.2">
      <c r="A48" s="20">
        <v>0.86</v>
      </c>
      <c r="B48" s="21">
        <f t="shared" si="1"/>
        <v>2.8000000000000004E-2</v>
      </c>
      <c r="C48" s="17">
        <f>A48*Scores!D7+B48*(SUM(Scores!D6:D11)-Scores!D7)</f>
        <v>94.12</v>
      </c>
      <c r="D48" s="17">
        <f>A48*Scores!E7+B48*(SUM(Scores!E6:E11)-Scores!E7)</f>
        <v>5.7400000000000011</v>
      </c>
      <c r="E48" s="17">
        <f>A48*Scores!F7+B48*(SUM(Scores!F6:F11)-Scores!F7)</f>
        <v>59.475999999999999</v>
      </c>
      <c r="F48" s="7" t="str">
        <f>INDEX({"A","B","C"},MATCH(MAX(C48:E48),C48:E48,0))</f>
        <v>A</v>
      </c>
    </row>
    <row r="49" spans="1:6" x14ac:dyDescent="0.2">
      <c r="A49" s="20">
        <v>0.88</v>
      </c>
      <c r="B49" s="21">
        <f t="shared" si="1"/>
        <v>2.4E-2</v>
      </c>
      <c r="C49" s="17">
        <f>A49*Scores!D7+B49*(SUM(Scores!D6:D11)-Scores!D7)</f>
        <v>94.96</v>
      </c>
      <c r="D49" s="17">
        <f>A49*Scores!E7+B49*(SUM(Scores!E6:E11)-Scores!E7)</f>
        <v>4.92</v>
      </c>
      <c r="E49" s="17">
        <f>A49*Scores!F7+B49*(SUM(Scores!F6:F11)-Scores!F7)</f>
        <v>59.408000000000001</v>
      </c>
      <c r="F49" s="7" t="str">
        <f>INDEX({"A","B","C"},MATCH(MAX(C49:E49),C49:E49,0))</f>
        <v>A</v>
      </c>
    </row>
    <row r="50" spans="1:6" x14ac:dyDescent="0.2">
      <c r="A50" s="20">
        <v>0.9</v>
      </c>
      <c r="B50" s="21">
        <f t="shared" si="1"/>
        <v>1.9999999999999997E-2</v>
      </c>
      <c r="C50" s="17">
        <f>A50*Scores!D7+B50*(SUM(Scores!D6:D11)-Scores!D7)</f>
        <v>95.8</v>
      </c>
      <c r="D50" s="17">
        <f>A50*Scores!E7+B50*(SUM(Scores!E6:E11)-Scores!E7)</f>
        <v>4.0999999999999996</v>
      </c>
      <c r="E50" s="17">
        <f>A50*Scores!F7+B50*(SUM(Scores!F6:F11)-Scores!F7)</f>
        <v>59.34</v>
      </c>
      <c r="F50" s="7" t="str">
        <f>INDEX({"A","B","C"},MATCH(MAX(C50:E50),C50:E50,0))</f>
        <v>A</v>
      </c>
    </row>
    <row r="51" spans="1:6" x14ac:dyDescent="0.2">
      <c r="A51" s="20">
        <v>0.92</v>
      </c>
      <c r="B51" s="21">
        <f t="shared" si="1"/>
        <v>1.5999999999999993E-2</v>
      </c>
      <c r="C51" s="17">
        <f>A51*Scores!D7+B51*(SUM(Scores!D6:D11)-Scores!D7)</f>
        <v>96.64</v>
      </c>
      <c r="D51" s="17">
        <f>A51*Scores!E7+B51*(SUM(Scores!E6:E11)-Scores!E7)</f>
        <v>3.2799999999999985</v>
      </c>
      <c r="E51" s="17">
        <f>A51*Scores!F7+B51*(SUM(Scores!F6:F11)-Scores!F7)</f>
        <v>59.271999999999998</v>
      </c>
      <c r="F51" s="7" t="str">
        <f>INDEX({"A","B","C"},MATCH(MAX(C51:E51),C51:E51,0))</f>
        <v>A</v>
      </c>
    </row>
    <row r="52" spans="1:6" x14ac:dyDescent="0.2">
      <c r="A52" s="20">
        <v>0.94</v>
      </c>
      <c r="B52" s="21">
        <f t="shared" si="1"/>
        <v>1.2000000000000011E-2</v>
      </c>
      <c r="C52" s="17">
        <f>A52*Scores!D7+B52*(SUM(Scores!D6:D11)-Scores!D7)</f>
        <v>97.48</v>
      </c>
      <c r="D52" s="17">
        <f>A52*Scores!E7+B52*(SUM(Scores!E6:E11)-Scores!E7)</f>
        <v>2.4600000000000022</v>
      </c>
      <c r="E52" s="17">
        <f>A52*Scores!F7+B52*(SUM(Scores!F6:F11)-Scores!F7)</f>
        <v>59.203999999999994</v>
      </c>
      <c r="F52" s="7" t="str">
        <f>INDEX({"A","B","C"},MATCH(MAX(C52:E52),C52:E52,0))</f>
        <v>A</v>
      </c>
    </row>
    <row r="53" spans="1:6" x14ac:dyDescent="0.2">
      <c r="A53" s="20">
        <v>0.96</v>
      </c>
      <c r="B53" s="21">
        <f t="shared" si="1"/>
        <v>8.0000000000000071E-3</v>
      </c>
      <c r="C53" s="17">
        <f>A53*Scores!D7+B53*(SUM(Scores!D6:D11)-Scores!D7)</f>
        <v>98.320000000000007</v>
      </c>
      <c r="D53" s="17">
        <f>A53*Scores!E7+B53*(SUM(Scores!E6:E11)-Scores!E7)</f>
        <v>1.6400000000000015</v>
      </c>
      <c r="E53" s="17">
        <f>A53*Scores!F7+B53*(SUM(Scores!F6:F11)-Scores!F7)</f>
        <v>59.136000000000003</v>
      </c>
      <c r="F53" s="7" t="str">
        <f>INDEX({"A","B","C"},MATCH(MAX(C53:E53),C53:E53,0))</f>
        <v>A</v>
      </c>
    </row>
    <row r="54" spans="1:6" x14ac:dyDescent="0.2">
      <c r="A54" s="20">
        <v>0.98</v>
      </c>
      <c r="B54" s="21">
        <f t="shared" si="1"/>
        <v>4.0000000000000036E-3</v>
      </c>
      <c r="C54" s="17">
        <f>A54*Scores!D7+B54*(SUM(Scores!D6:D11)-Scores!D7)</f>
        <v>99.16</v>
      </c>
      <c r="D54" s="17">
        <f>A54*Scores!E7+B54*(SUM(Scores!E6:E11)-Scores!E7)</f>
        <v>0.82000000000000073</v>
      </c>
      <c r="E54" s="17">
        <f>A54*Scores!F7+B54*(SUM(Scores!F6:F11)-Scores!F7)</f>
        <v>59.067999999999998</v>
      </c>
      <c r="F54" s="7" t="str">
        <f>INDEX({"A","B","C"},MATCH(MAX(C54:E54),C54:E54,0))</f>
        <v>A</v>
      </c>
    </row>
    <row r="55" spans="1:6" x14ac:dyDescent="0.2">
      <c r="A55" s="20">
        <v>1</v>
      </c>
      <c r="B55" s="21">
        <f t="shared" si="1"/>
        <v>0</v>
      </c>
      <c r="C55" s="17">
        <f>A55*Scores!D7+B55*(SUM(Scores!D6:D11)-Scores!D7)</f>
        <v>100</v>
      </c>
      <c r="D55" s="17">
        <f>A55*Scores!E7+B55*(SUM(Scores!E6:E11)-Scores!E7)</f>
        <v>0</v>
      </c>
      <c r="E55" s="17">
        <f>A55*Scores!F7+B55*(SUM(Scores!F6:F11)-Scores!F7)</f>
        <v>59</v>
      </c>
      <c r="F55" s="7" t="str">
        <f>INDEX({"A","B","C"},MATCH(MAX(C55:E55),C55:E55,0))</f>
        <v>A</v>
      </c>
    </row>
    <row r="57" spans="1:6" x14ac:dyDescent="0.2">
      <c r="A57" s="2" t="s">
        <v>55</v>
      </c>
      <c r="B57" s="2"/>
      <c r="C57" s="22">
        <f>IFERROR(((SUM(Scores!F6:F11)-Scores!F7)-(SUM(Scores!E6:E11)-Scores!E7))/(5*(Scores!E7-Scores!F7)+(SUM(Scores!F6:F11)-Scores!F7)-(SUM(Scores!E6:E11)-Scores!E7)),"undefined")</f>
        <v>-0.56914893617021278</v>
      </c>
    </row>
    <row r="58" spans="1:6" x14ac:dyDescent="0.2">
      <c r="A58" s="2" t="s">
        <v>56</v>
      </c>
      <c r="B58" s="2"/>
      <c r="C58" s="22">
        <f>IFERROR(((SUM(Scores!F6:F11)-Scores!F7)-(SUM(Scores!D6:D11)-Scores!D7))/(5*(Scores!D7-Scores!F7)+(SUM(Scores!F6:F11)-Scores!F7)-(SUM(Scores!D6:D11)-Scores!D7)),"undefined")</f>
        <v>9.6916299559471369E-2</v>
      </c>
    </row>
    <row r="60" spans="1:6" ht="15" customHeight="1" x14ac:dyDescent="0.2">
      <c r="A60" s="3" t="s">
        <v>57</v>
      </c>
      <c r="B60" s="3"/>
      <c r="C60" s="3"/>
      <c r="D60" s="3"/>
      <c r="E60" s="3"/>
      <c r="F60" s="3"/>
    </row>
    <row r="61" spans="1:6" x14ac:dyDescent="0.2">
      <c r="A61" s="3"/>
      <c r="B61" s="3"/>
      <c r="C61" s="3"/>
      <c r="D61" s="3"/>
      <c r="E61" s="3"/>
      <c r="F61" s="3"/>
    </row>
  </sheetData>
  <mergeCells count="5">
    <mergeCell ref="A1:F1"/>
    <mergeCell ref="A2:F3"/>
    <mergeCell ref="A57:B57"/>
    <mergeCell ref="A58:B58"/>
    <mergeCell ref="A60:F6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1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6" width="12" customWidth="1"/>
  </cols>
  <sheetData>
    <row r="1" spans="1:6" ht="18" x14ac:dyDescent="0.2">
      <c r="A1" s="4" t="s">
        <v>61</v>
      </c>
      <c r="B1" s="4"/>
      <c r="C1" s="4"/>
      <c r="D1" s="4"/>
      <c r="E1" s="4"/>
      <c r="F1" s="4"/>
    </row>
    <row r="2" spans="1:6" ht="15" customHeight="1" x14ac:dyDescent="0.2">
      <c r="A2" s="3" t="s">
        <v>62</v>
      </c>
      <c r="B2" s="3"/>
      <c r="C2" s="3"/>
      <c r="D2" s="3"/>
      <c r="E2" s="3"/>
      <c r="F2" s="3"/>
    </row>
    <row r="3" spans="1:6" x14ac:dyDescent="0.2">
      <c r="A3" s="3"/>
      <c r="B3" s="3"/>
      <c r="C3" s="3"/>
      <c r="D3" s="3"/>
      <c r="E3" s="3"/>
      <c r="F3" s="3"/>
    </row>
    <row r="4" spans="1:6" x14ac:dyDescent="0.2">
      <c r="A4" s="6" t="s">
        <v>63</v>
      </c>
      <c r="B4" s="6" t="s">
        <v>53</v>
      </c>
      <c r="C4" s="6" t="s">
        <v>6</v>
      </c>
      <c r="D4" s="6" t="s">
        <v>7</v>
      </c>
      <c r="E4" s="6" t="s">
        <v>8</v>
      </c>
      <c r="F4" s="6" t="s">
        <v>54</v>
      </c>
    </row>
    <row r="5" spans="1:6" x14ac:dyDescent="0.2">
      <c r="A5" s="20">
        <v>0</v>
      </c>
      <c r="B5" s="21">
        <f t="shared" ref="B5:B36" si="0">(1-A5)/5</f>
        <v>0.2</v>
      </c>
      <c r="C5" s="17">
        <f>A5*Scores!D8+B5*(SUM(Scores!D6:D11)-Scores!D8)</f>
        <v>61</v>
      </c>
      <c r="D5" s="17">
        <f>A5*Scores!E8+B5*(SUM(Scores!E6:E11)-Scores!E8)</f>
        <v>37</v>
      </c>
      <c r="E5" s="17">
        <f>A5*Scores!F8+B5*(SUM(Scores!F6:F11)-Scores!F8)</f>
        <v>65.2</v>
      </c>
      <c r="F5" s="7" t="str">
        <f>INDEX({"A","B","C"},MATCH(MAX(C5:E5),C5:E5,0))</f>
        <v>C</v>
      </c>
    </row>
    <row r="6" spans="1:6" x14ac:dyDescent="0.2">
      <c r="A6" s="20">
        <v>0.02</v>
      </c>
      <c r="B6" s="21">
        <f t="shared" si="0"/>
        <v>0.19600000000000001</v>
      </c>
      <c r="C6" s="17">
        <f>A6*Scores!D8+B6*(SUM(Scores!D6:D11)-Scores!D8)</f>
        <v>61.480000000000004</v>
      </c>
      <c r="D6" s="17">
        <f>A6*Scores!E8+B6*(SUM(Scores!E6:E11)-Scores!E8)</f>
        <v>36.659999999999997</v>
      </c>
      <c r="E6" s="17">
        <f>A6*Scores!F8+B6*(SUM(Scores!F6:F11)-Scores!F8)</f>
        <v>64.796000000000006</v>
      </c>
      <c r="F6" s="7" t="str">
        <f>INDEX({"A","B","C"},MATCH(MAX(C6:E6),C6:E6,0))</f>
        <v>C</v>
      </c>
    </row>
    <row r="7" spans="1:6" x14ac:dyDescent="0.2">
      <c r="A7" s="20">
        <v>0.04</v>
      </c>
      <c r="B7" s="21">
        <f t="shared" si="0"/>
        <v>0.192</v>
      </c>
      <c r="C7" s="17">
        <f>A7*Scores!D8+B7*(SUM(Scores!D6:D11)-Scores!D8)</f>
        <v>61.96</v>
      </c>
      <c r="D7" s="17">
        <f>A7*Scores!E8+B7*(SUM(Scores!E6:E11)-Scores!E8)</f>
        <v>36.32</v>
      </c>
      <c r="E7" s="17">
        <f>A7*Scores!F8+B7*(SUM(Scores!F6:F11)-Scores!F8)</f>
        <v>64.391999999999996</v>
      </c>
      <c r="F7" s="7" t="str">
        <f>INDEX({"A","B","C"},MATCH(MAX(C7:E7),C7:E7,0))</f>
        <v>C</v>
      </c>
    </row>
    <row r="8" spans="1:6" x14ac:dyDescent="0.2">
      <c r="A8" s="20">
        <v>0.06</v>
      </c>
      <c r="B8" s="21">
        <f t="shared" si="0"/>
        <v>0.188</v>
      </c>
      <c r="C8" s="17">
        <f>A8*Scores!D8+B8*(SUM(Scores!D6:D11)-Scores!D8)</f>
        <v>62.440000000000005</v>
      </c>
      <c r="D8" s="17">
        <f>A8*Scores!E8+B8*(SUM(Scores!E6:E11)-Scores!E8)</f>
        <v>35.980000000000004</v>
      </c>
      <c r="E8" s="17">
        <f>A8*Scores!F8+B8*(SUM(Scores!F6:F11)-Scores!F8)</f>
        <v>63.988</v>
      </c>
      <c r="F8" s="7" t="str">
        <f>INDEX({"A","B","C"},MATCH(MAX(C8:E8),C8:E8,0))</f>
        <v>C</v>
      </c>
    </row>
    <row r="9" spans="1:6" x14ac:dyDescent="0.2">
      <c r="A9" s="20">
        <v>0.08</v>
      </c>
      <c r="B9" s="21">
        <f t="shared" si="0"/>
        <v>0.184</v>
      </c>
      <c r="C9" s="17">
        <f>A9*Scores!D8+B9*(SUM(Scores!D6:D11)-Scores!D8)</f>
        <v>62.919999999999995</v>
      </c>
      <c r="D9" s="17">
        <f>A9*Scores!E8+B9*(SUM(Scores!E6:E11)-Scores!E8)</f>
        <v>35.64</v>
      </c>
      <c r="E9" s="17">
        <f>A9*Scores!F8+B9*(SUM(Scores!F6:F11)-Scores!F8)</f>
        <v>63.584000000000003</v>
      </c>
      <c r="F9" s="7" t="str">
        <f>INDEX({"A","B","C"},MATCH(MAX(C9:E9),C9:E9,0))</f>
        <v>C</v>
      </c>
    </row>
    <row r="10" spans="1:6" x14ac:dyDescent="0.2">
      <c r="A10" s="20">
        <v>0.1</v>
      </c>
      <c r="B10" s="21">
        <f t="shared" si="0"/>
        <v>0.18</v>
      </c>
      <c r="C10" s="17">
        <f>A10*Scores!D8+B10*(SUM(Scores!D6:D11)-Scores!D8)</f>
        <v>63.4</v>
      </c>
      <c r="D10" s="17">
        <f>A10*Scores!E8+B10*(SUM(Scores!E6:E11)-Scores!E8)</f>
        <v>35.299999999999997</v>
      </c>
      <c r="E10" s="17">
        <f>A10*Scores!F8+B10*(SUM(Scores!F6:F11)-Scores!F8)</f>
        <v>63.18</v>
      </c>
      <c r="F10" s="7" t="str">
        <f>INDEX({"A","B","C"},MATCH(MAX(C10:E10),C10:E10,0))</f>
        <v>A</v>
      </c>
    </row>
    <row r="11" spans="1:6" x14ac:dyDescent="0.2">
      <c r="A11" s="20">
        <v>0.12</v>
      </c>
      <c r="B11" s="21">
        <f t="shared" si="0"/>
        <v>0.17599999999999999</v>
      </c>
      <c r="C11" s="17">
        <f>A11*Scores!D8+B11*(SUM(Scores!D6:D11)-Scores!D8)</f>
        <v>63.879999999999995</v>
      </c>
      <c r="D11" s="17">
        <f>A11*Scores!E8+B11*(SUM(Scores!E6:E11)-Scores!E8)</f>
        <v>34.959999999999994</v>
      </c>
      <c r="E11" s="17">
        <f>A11*Scores!F8+B11*(SUM(Scores!F6:F11)-Scores!F8)</f>
        <v>62.775999999999996</v>
      </c>
      <c r="F11" s="7" t="str">
        <f>INDEX({"A","B","C"},MATCH(MAX(C11:E11),C11:E11,0))</f>
        <v>A</v>
      </c>
    </row>
    <row r="12" spans="1:6" x14ac:dyDescent="0.2">
      <c r="A12" s="20">
        <v>0.14000000000000001</v>
      </c>
      <c r="B12" s="21">
        <f t="shared" si="0"/>
        <v>0.17199999999999999</v>
      </c>
      <c r="C12" s="17">
        <f>A12*Scores!D8+B12*(SUM(Scores!D6:D11)-Scores!D8)</f>
        <v>64.36</v>
      </c>
      <c r="D12" s="17">
        <f>A12*Scores!E8+B12*(SUM(Scores!E6:E11)-Scores!E8)</f>
        <v>34.619999999999997</v>
      </c>
      <c r="E12" s="17">
        <f>A12*Scores!F8+B12*(SUM(Scores!F6:F11)-Scores!F8)</f>
        <v>62.372</v>
      </c>
      <c r="F12" s="7" t="str">
        <f>INDEX({"A","B","C"},MATCH(MAX(C12:E12),C12:E12,0))</f>
        <v>A</v>
      </c>
    </row>
    <row r="13" spans="1:6" x14ac:dyDescent="0.2">
      <c r="A13" s="20">
        <v>0.16</v>
      </c>
      <c r="B13" s="21">
        <f t="shared" si="0"/>
        <v>0.16799999999999998</v>
      </c>
      <c r="C13" s="17">
        <f>A13*Scores!D8+B13*(SUM(Scores!D6:D11)-Scores!D8)</f>
        <v>64.839999999999989</v>
      </c>
      <c r="D13" s="17">
        <f>A13*Scores!E8+B13*(SUM(Scores!E6:E11)-Scores!E8)</f>
        <v>34.28</v>
      </c>
      <c r="E13" s="17">
        <f>A13*Scores!F8+B13*(SUM(Scores!F6:F11)-Scores!F8)</f>
        <v>61.967999999999996</v>
      </c>
      <c r="F13" s="7" t="str">
        <f>INDEX({"A","B","C"},MATCH(MAX(C13:E13),C13:E13,0))</f>
        <v>A</v>
      </c>
    </row>
    <row r="14" spans="1:6" x14ac:dyDescent="0.2">
      <c r="A14" s="20">
        <v>0.18</v>
      </c>
      <c r="B14" s="21">
        <f t="shared" si="0"/>
        <v>0.16400000000000001</v>
      </c>
      <c r="C14" s="17">
        <f>A14*Scores!D8+B14*(SUM(Scores!D6:D11)-Scores!D8)</f>
        <v>65.320000000000007</v>
      </c>
      <c r="D14" s="17">
        <f>A14*Scores!E8+B14*(SUM(Scores!E6:E11)-Scores!E8)</f>
        <v>33.94</v>
      </c>
      <c r="E14" s="17">
        <f>A14*Scores!F8+B14*(SUM(Scores!F6:F11)-Scores!F8)</f>
        <v>61.564000000000007</v>
      </c>
      <c r="F14" s="7" t="str">
        <f>INDEX({"A","B","C"},MATCH(MAX(C14:E14),C14:E14,0))</f>
        <v>A</v>
      </c>
    </row>
    <row r="15" spans="1:6" x14ac:dyDescent="0.2">
      <c r="A15" s="20">
        <v>0.2</v>
      </c>
      <c r="B15" s="21">
        <f t="shared" si="0"/>
        <v>0.16</v>
      </c>
      <c r="C15" s="17">
        <f>A15*Scores!D8+B15*(SUM(Scores!D6:D11)-Scores!D8)</f>
        <v>65.800000000000011</v>
      </c>
      <c r="D15" s="17">
        <f>A15*Scores!E8+B15*(SUM(Scores!E6:E11)-Scores!E8)</f>
        <v>33.6</v>
      </c>
      <c r="E15" s="17">
        <f>A15*Scores!F8+B15*(SUM(Scores!F6:F11)-Scores!F8)</f>
        <v>61.160000000000004</v>
      </c>
      <c r="F15" s="7" t="str">
        <f>INDEX({"A","B","C"},MATCH(MAX(C15:E15),C15:E15,0))</f>
        <v>A</v>
      </c>
    </row>
    <row r="16" spans="1:6" x14ac:dyDescent="0.2">
      <c r="A16" s="20">
        <v>0.22</v>
      </c>
      <c r="B16" s="21">
        <f t="shared" si="0"/>
        <v>0.156</v>
      </c>
      <c r="C16" s="17">
        <f>A16*Scores!D8+B16*(SUM(Scores!D6:D11)-Scores!D8)</f>
        <v>66.28</v>
      </c>
      <c r="D16" s="17">
        <f>A16*Scores!E8+B16*(SUM(Scores!E6:E11)-Scores!E8)</f>
        <v>33.26</v>
      </c>
      <c r="E16" s="17">
        <f>A16*Scores!F8+B16*(SUM(Scores!F6:F11)-Scores!F8)</f>
        <v>60.756</v>
      </c>
      <c r="F16" s="7" t="str">
        <f>INDEX({"A","B","C"},MATCH(MAX(C16:E16),C16:E16,0))</f>
        <v>A</v>
      </c>
    </row>
    <row r="17" spans="1:6" x14ac:dyDescent="0.2">
      <c r="A17" s="20">
        <v>0.24</v>
      </c>
      <c r="B17" s="21">
        <f t="shared" si="0"/>
        <v>0.152</v>
      </c>
      <c r="C17" s="17">
        <f>A17*Scores!D8+B17*(SUM(Scores!D6:D11)-Scores!D8)</f>
        <v>66.759999999999991</v>
      </c>
      <c r="D17" s="17">
        <f>A17*Scores!E8+B17*(SUM(Scores!E6:E11)-Scores!E8)</f>
        <v>32.92</v>
      </c>
      <c r="E17" s="17">
        <f>A17*Scores!F8+B17*(SUM(Scores!F6:F11)-Scores!F8)</f>
        <v>60.351999999999997</v>
      </c>
      <c r="F17" s="7" t="str">
        <f>INDEX({"A","B","C"},MATCH(MAX(C17:E17),C17:E17,0))</f>
        <v>A</v>
      </c>
    </row>
    <row r="18" spans="1:6" x14ac:dyDescent="0.2">
      <c r="A18" s="20">
        <v>0.26</v>
      </c>
      <c r="B18" s="21">
        <f t="shared" si="0"/>
        <v>0.14799999999999999</v>
      </c>
      <c r="C18" s="17">
        <f>A18*Scores!D8+B18*(SUM(Scores!D6:D11)-Scores!D8)</f>
        <v>67.240000000000009</v>
      </c>
      <c r="D18" s="17">
        <f>A18*Scores!E8+B18*(SUM(Scores!E6:E11)-Scores!E8)</f>
        <v>32.58</v>
      </c>
      <c r="E18" s="17">
        <f>A18*Scores!F8+B18*(SUM(Scores!F6:F11)-Scores!F8)</f>
        <v>59.948</v>
      </c>
      <c r="F18" s="7" t="str">
        <f>INDEX({"A","B","C"},MATCH(MAX(C18:E18),C18:E18,0))</f>
        <v>A</v>
      </c>
    </row>
    <row r="19" spans="1:6" x14ac:dyDescent="0.2">
      <c r="A19" s="20">
        <v>0.28000000000000003</v>
      </c>
      <c r="B19" s="21">
        <f t="shared" si="0"/>
        <v>0.14399999999999999</v>
      </c>
      <c r="C19" s="17">
        <f>A19*Scores!D8+B19*(SUM(Scores!D6:D11)-Scores!D8)</f>
        <v>67.72</v>
      </c>
      <c r="D19" s="17">
        <f>A19*Scores!E8+B19*(SUM(Scores!E6:E11)-Scores!E8)</f>
        <v>32.239999999999995</v>
      </c>
      <c r="E19" s="17">
        <f>A19*Scores!F8+B19*(SUM(Scores!F6:F11)-Scores!F8)</f>
        <v>59.543999999999997</v>
      </c>
      <c r="F19" s="7" t="str">
        <f>INDEX({"A","B","C"},MATCH(MAX(C19:E19),C19:E19,0))</f>
        <v>A</v>
      </c>
    </row>
    <row r="20" spans="1:6" x14ac:dyDescent="0.2">
      <c r="A20" s="20">
        <v>0.3</v>
      </c>
      <c r="B20" s="21">
        <f t="shared" si="0"/>
        <v>0.13999999999999999</v>
      </c>
      <c r="C20" s="17">
        <f>A20*Scores!D8+B20*(SUM(Scores!D6:D11)-Scores!D8)</f>
        <v>68.199999999999989</v>
      </c>
      <c r="D20" s="17">
        <f>A20*Scores!E8+B20*(SUM(Scores!E6:E11)-Scores!E8)</f>
        <v>31.9</v>
      </c>
      <c r="E20" s="17">
        <f>A20*Scores!F8+B20*(SUM(Scores!F6:F11)-Scores!F8)</f>
        <v>59.139999999999993</v>
      </c>
      <c r="F20" s="7" t="str">
        <f>INDEX({"A","B","C"},MATCH(MAX(C20:E20),C20:E20,0))</f>
        <v>A</v>
      </c>
    </row>
    <row r="21" spans="1:6" x14ac:dyDescent="0.2">
      <c r="A21" s="20">
        <v>0.32</v>
      </c>
      <c r="B21" s="21">
        <f t="shared" si="0"/>
        <v>0.13599999999999998</v>
      </c>
      <c r="C21" s="17">
        <f>A21*Scores!D8+B21*(SUM(Scores!D6:D11)-Scores!D8)</f>
        <v>68.679999999999993</v>
      </c>
      <c r="D21" s="17">
        <f>A21*Scores!E8+B21*(SUM(Scores!E6:E11)-Scores!E8)</f>
        <v>31.559999999999995</v>
      </c>
      <c r="E21" s="17">
        <f>A21*Scores!F8+B21*(SUM(Scores!F6:F11)-Scores!F8)</f>
        <v>58.73599999999999</v>
      </c>
      <c r="F21" s="7" t="str">
        <f>INDEX({"A","B","C"},MATCH(MAX(C21:E21),C21:E21,0))</f>
        <v>A</v>
      </c>
    </row>
    <row r="22" spans="1:6" x14ac:dyDescent="0.2">
      <c r="A22" s="20">
        <v>0.34</v>
      </c>
      <c r="B22" s="21">
        <f t="shared" si="0"/>
        <v>0.13199999999999998</v>
      </c>
      <c r="C22" s="17">
        <f>A22*Scores!D8+B22*(SUM(Scores!D6:D11)-Scores!D8)</f>
        <v>69.16</v>
      </c>
      <c r="D22" s="17">
        <f>A22*Scores!E8+B22*(SUM(Scores!E6:E11)-Scores!E8)</f>
        <v>31.219999999999995</v>
      </c>
      <c r="E22" s="17">
        <f>A22*Scores!F8+B22*(SUM(Scores!F6:F11)-Scores!F8)</f>
        <v>58.331999999999994</v>
      </c>
      <c r="F22" s="7" t="str">
        <f>INDEX({"A","B","C"},MATCH(MAX(C22:E22),C22:E22,0))</f>
        <v>A</v>
      </c>
    </row>
    <row r="23" spans="1:6" x14ac:dyDescent="0.2">
      <c r="A23" s="20">
        <v>0.36</v>
      </c>
      <c r="B23" s="21">
        <f t="shared" si="0"/>
        <v>0.128</v>
      </c>
      <c r="C23" s="17">
        <f>A23*Scores!D8+B23*(SUM(Scores!D6:D11)-Scores!D8)</f>
        <v>69.64</v>
      </c>
      <c r="D23" s="17">
        <f>A23*Scores!E8+B23*(SUM(Scores!E6:E11)-Scores!E8)</f>
        <v>30.88</v>
      </c>
      <c r="E23" s="17">
        <f>A23*Scores!F8+B23*(SUM(Scores!F6:F11)-Scores!F8)</f>
        <v>57.927999999999997</v>
      </c>
      <c r="F23" s="7" t="str">
        <f>INDEX({"A","B","C"},MATCH(MAX(C23:E23),C23:E23,0))</f>
        <v>A</v>
      </c>
    </row>
    <row r="24" spans="1:6" x14ac:dyDescent="0.2">
      <c r="A24" s="20">
        <v>0.38</v>
      </c>
      <c r="B24" s="21">
        <f t="shared" si="0"/>
        <v>0.124</v>
      </c>
      <c r="C24" s="17">
        <f>A24*Scores!D8+B24*(SUM(Scores!D6:D11)-Scores!D8)</f>
        <v>70.12</v>
      </c>
      <c r="D24" s="17">
        <f>A24*Scores!E8+B24*(SUM(Scores!E6:E11)-Scores!E8)</f>
        <v>30.54</v>
      </c>
      <c r="E24" s="17">
        <f>A24*Scores!F8+B24*(SUM(Scores!F6:F11)-Scores!F8)</f>
        <v>57.524000000000001</v>
      </c>
      <c r="F24" s="7" t="str">
        <f>INDEX({"A","B","C"},MATCH(MAX(C24:E24),C24:E24,0))</f>
        <v>A</v>
      </c>
    </row>
    <row r="25" spans="1:6" x14ac:dyDescent="0.2">
      <c r="A25" s="20">
        <v>0.4</v>
      </c>
      <c r="B25" s="21">
        <f t="shared" si="0"/>
        <v>0.12</v>
      </c>
      <c r="C25" s="17">
        <f>A25*Scores!D8+B25*(SUM(Scores!D6:D11)-Scores!D8)</f>
        <v>70.599999999999994</v>
      </c>
      <c r="D25" s="17">
        <f>A25*Scores!E8+B25*(SUM(Scores!E6:E11)-Scores!E8)</f>
        <v>30.2</v>
      </c>
      <c r="E25" s="17">
        <f>A25*Scores!F8+B25*(SUM(Scores!F6:F11)-Scores!F8)</f>
        <v>57.12</v>
      </c>
      <c r="F25" s="7" t="str">
        <f>INDEX({"A","B","C"},MATCH(MAX(C25:E25),C25:E25,0))</f>
        <v>A</v>
      </c>
    </row>
    <row r="26" spans="1:6" x14ac:dyDescent="0.2">
      <c r="A26" s="20">
        <v>0.42</v>
      </c>
      <c r="B26" s="21">
        <f t="shared" si="0"/>
        <v>0.11600000000000002</v>
      </c>
      <c r="C26" s="17">
        <f>A26*Scores!D8+B26*(SUM(Scores!D6:D11)-Scores!D8)</f>
        <v>71.08</v>
      </c>
      <c r="D26" s="17">
        <f>A26*Scores!E8+B26*(SUM(Scores!E6:E11)-Scores!E8)</f>
        <v>29.860000000000007</v>
      </c>
      <c r="E26" s="17">
        <f>A26*Scores!F8+B26*(SUM(Scores!F6:F11)-Scores!F8)</f>
        <v>56.716000000000008</v>
      </c>
      <c r="F26" s="7" t="str">
        <f>INDEX({"A","B","C"},MATCH(MAX(C26:E26),C26:E26,0))</f>
        <v>A</v>
      </c>
    </row>
    <row r="27" spans="1:6" x14ac:dyDescent="0.2">
      <c r="A27" s="20">
        <v>0.44</v>
      </c>
      <c r="B27" s="21">
        <f t="shared" si="0"/>
        <v>0.11200000000000002</v>
      </c>
      <c r="C27" s="17">
        <f>A27*Scores!D8+B27*(SUM(Scores!D6:D11)-Scores!D8)</f>
        <v>71.56</v>
      </c>
      <c r="D27" s="17">
        <f>A27*Scores!E8+B27*(SUM(Scores!E6:E11)-Scores!E8)</f>
        <v>29.520000000000003</v>
      </c>
      <c r="E27" s="17">
        <f>A27*Scores!F8+B27*(SUM(Scores!F6:F11)-Scores!F8)</f>
        <v>56.312000000000012</v>
      </c>
      <c r="F27" s="7" t="str">
        <f>INDEX({"A","B","C"},MATCH(MAX(C27:E27),C27:E27,0))</f>
        <v>A</v>
      </c>
    </row>
    <row r="28" spans="1:6" x14ac:dyDescent="0.2">
      <c r="A28" s="20">
        <v>0.46</v>
      </c>
      <c r="B28" s="21">
        <f t="shared" si="0"/>
        <v>0.10800000000000001</v>
      </c>
      <c r="C28" s="17">
        <f>A28*Scores!D8+B28*(SUM(Scores!D6:D11)-Scores!D8)</f>
        <v>72.040000000000006</v>
      </c>
      <c r="D28" s="17">
        <f>A28*Scores!E8+B28*(SUM(Scores!E6:E11)-Scores!E8)</f>
        <v>29.180000000000007</v>
      </c>
      <c r="E28" s="17">
        <f>A28*Scores!F8+B28*(SUM(Scores!F6:F11)-Scores!F8)</f>
        <v>55.908000000000001</v>
      </c>
      <c r="F28" s="7" t="str">
        <f>INDEX({"A","B","C"},MATCH(MAX(C28:E28),C28:E28,0))</f>
        <v>A</v>
      </c>
    </row>
    <row r="29" spans="1:6" x14ac:dyDescent="0.2">
      <c r="A29" s="20">
        <v>0.48</v>
      </c>
      <c r="B29" s="21">
        <f t="shared" si="0"/>
        <v>0.10400000000000001</v>
      </c>
      <c r="C29" s="17">
        <f>A29*Scores!D8+B29*(SUM(Scores!D6:D11)-Scores!D8)</f>
        <v>72.52</v>
      </c>
      <c r="D29" s="17">
        <f>A29*Scores!E8+B29*(SUM(Scores!E6:E11)-Scores!E8)</f>
        <v>28.840000000000003</v>
      </c>
      <c r="E29" s="17">
        <f>A29*Scores!F8+B29*(SUM(Scores!F6:F11)-Scores!F8)</f>
        <v>55.504000000000005</v>
      </c>
      <c r="F29" s="7" t="str">
        <f>INDEX({"A","B","C"},MATCH(MAX(C29:E29),C29:E29,0))</f>
        <v>A</v>
      </c>
    </row>
    <row r="30" spans="1:6" x14ac:dyDescent="0.2">
      <c r="A30" s="20">
        <v>0.5</v>
      </c>
      <c r="B30" s="21">
        <f t="shared" si="0"/>
        <v>0.1</v>
      </c>
      <c r="C30" s="17">
        <f>A30*Scores!D8+B30*(SUM(Scores!D6:D11)-Scores!D8)</f>
        <v>73</v>
      </c>
      <c r="D30" s="17">
        <f>A30*Scores!E8+B30*(SUM(Scores!E6:E11)-Scores!E8)</f>
        <v>28.5</v>
      </c>
      <c r="E30" s="17">
        <f>A30*Scores!F8+B30*(SUM(Scores!F6:F11)-Scores!F8)</f>
        <v>55.1</v>
      </c>
      <c r="F30" s="7" t="str">
        <f>INDEX({"A","B","C"},MATCH(MAX(C30:E30),C30:E30,0))</f>
        <v>A</v>
      </c>
    </row>
    <row r="31" spans="1:6" x14ac:dyDescent="0.2">
      <c r="A31" s="20">
        <v>0.52</v>
      </c>
      <c r="B31" s="21">
        <f t="shared" si="0"/>
        <v>9.6000000000000002E-2</v>
      </c>
      <c r="C31" s="17">
        <f>A31*Scores!D8+B31*(SUM(Scores!D6:D11)-Scores!D8)</f>
        <v>73.48</v>
      </c>
      <c r="D31" s="17">
        <f>A31*Scores!E8+B31*(SUM(Scores!E6:E11)-Scores!E8)</f>
        <v>28.160000000000004</v>
      </c>
      <c r="E31" s="17">
        <f>A31*Scores!F8+B31*(SUM(Scores!F6:F11)-Scores!F8)</f>
        <v>54.695999999999998</v>
      </c>
      <c r="F31" s="7" t="str">
        <f>INDEX({"A","B","C"},MATCH(MAX(C31:E31),C31:E31,0))</f>
        <v>A</v>
      </c>
    </row>
    <row r="32" spans="1:6" x14ac:dyDescent="0.2">
      <c r="A32" s="20">
        <v>0.54</v>
      </c>
      <c r="B32" s="21">
        <f t="shared" si="0"/>
        <v>9.1999999999999998E-2</v>
      </c>
      <c r="C32" s="17">
        <f>A32*Scores!D8+B32*(SUM(Scores!D6:D11)-Scores!D8)</f>
        <v>73.960000000000008</v>
      </c>
      <c r="D32" s="17">
        <f>A32*Scores!E8+B32*(SUM(Scores!E6:E11)-Scores!E8)</f>
        <v>27.82</v>
      </c>
      <c r="E32" s="17">
        <f>A32*Scores!F8+B32*(SUM(Scores!F6:F11)-Scores!F8)</f>
        <v>54.292000000000002</v>
      </c>
      <c r="F32" s="7" t="str">
        <f>INDEX({"A","B","C"},MATCH(MAX(C32:E32),C32:E32,0))</f>
        <v>A</v>
      </c>
    </row>
    <row r="33" spans="1:6" x14ac:dyDescent="0.2">
      <c r="A33" s="20">
        <v>0.56000000000000005</v>
      </c>
      <c r="B33" s="21">
        <f t="shared" si="0"/>
        <v>8.7999999999999995E-2</v>
      </c>
      <c r="C33" s="17">
        <f>A33*Scores!D8+B33*(SUM(Scores!D6:D11)-Scores!D8)</f>
        <v>74.44</v>
      </c>
      <c r="D33" s="17">
        <f>A33*Scores!E8+B33*(SUM(Scores!E6:E11)-Scores!E8)</f>
        <v>27.479999999999997</v>
      </c>
      <c r="E33" s="17">
        <f>A33*Scores!F8+B33*(SUM(Scores!F6:F11)-Scores!F8)</f>
        <v>53.888000000000005</v>
      </c>
      <c r="F33" s="7" t="str">
        <f>INDEX({"A","B","C"},MATCH(MAX(C33:E33),C33:E33,0))</f>
        <v>A</v>
      </c>
    </row>
    <row r="34" spans="1:6" x14ac:dyDescent="0.2">
      <c r="A34" s="20">
        <v>0.57999999999999996</v>
      </c>
      <c r="B34" s="21">
        <f t="shared" si="0"/>
        <v>8.4000000000000005E-2</v>
      </c>
      <c r="C34" s="17">
        <f>A34*Scores!D8+B34*(SUM(Scores!D6:D11)-Scores!D8)</f>
        <v>74.92</v>
      </c>
      <c r="D34" s="17">
        <f>A34*Scores!E8+B34*(SUM(Scores!E6:E11)-Scores!E8)</f>
        <v>27.14</v>
      </c>
      <c r="E34" s="17">
        <f>A34*Scores!F8+B34*(SUM(Scores!F6:F11)-Scores!F8)</f>
        <v>53.483999999999995</v>
      </c>
      <c r="F34" s="7" t="str">
        <f>INDEX({"A","B","C"},MATCH(MAX(C34:E34),C34:E34,0))</f>
        <v>A</v>
      </c>
    </row>
    <row r="35" spans="1:6" x14ac:dyDescent="0.2">
      <c r="A35" s="20">
        <v>0.6</v>
      </c>
      <c r="B35" s="21">
        <f t="shared" si="0"/>
        <v>0.08</v>
      </c>
      <c r="C35" s="17">
        <f>A35*Scores!D8+B35*(SUM(Scores!D6:D11)-Scores!D8)</f>
        <v>75.400000000000006</v>
      </c>
      <c r="D35" s="17">
        <f>A35*Scores!E8+B35*(SUM(Scores!E6:E11)-Scores!E8)</f>
        <v>26.8</v>
      </c>
      <c r="E35" s="17">
        <f>A35*Scores!F8+B35*(SUM(Scores!F6:F11)-Scores!F8)</f>
        <v>53.08</v>
      </c>
      <c r="F35" s="7" t="str">
        <f>INDEX({"A","B","C"},MATCH(MAX(C35:E35),C35:E35,0))</f>
        <v>A</v>
      </c>
    </row>
    <row r="36" spans="1:6" x14ac:dyDescent="0.2">
      <c r="A36" s="20">
        <v>0.62</v>
      </c>
      <c r="B36" s="21">
        <f t="shared" si="0"/>
        <v>7.5999999999999998E-2</v>
      </c>
      <c r="C36" s="17">
        <f>A36*Scores!D8+B36*(SUM(Scores!D6:D11)-Scores!D8)</f>
        <v>75.88</v>
      </c>
      <c r="D36" s="17">
        <f>A36*Scores!E8+B36*(SUM(Scores!E6:E11)-Scores!E8)</f>
        <v>26.46</v>
      </c>
      <c r="E36" s="17">
        <f>A36*Scores!F8+B36*(SUM(Scores!F6:F11)-Scores!F8)</f>
        <v>52.676000000000002</v>
      </c>
      <c r="F36" s="7" t="str">
        <f>INDEX({"A","B","C"},MATCH(MAX(C36:E36),C36:E36,0))</f>
        <v>A</v>
      </c>
    </row>
    <row r="37" spans="1:6" x14ac:dyDescent="0.2">
      <c r="A37" s="20">
        <v>0.64</v>
      </c>
      <c r="B37" s="21">
        <f t="shared" ref="B37:B68" si="1">(1-A37)/5</f>
        <v>7.1999999999999995E-2</v>
      </c>
      <c r="C37" s="17">
        <f>A37*Scores!D8+B37*(SUM(Scores!D6:D11)-Scores!D8)</f>
        <v>76.36</v>
      </c>
      <c r="D37" s="17">
        <f>A37*Scores!E8+B37*(SUM(Scores!E6:E11)-Scores!E8)</f>
        <v>26.119999999999997</v>
      </c>
      <c r="E37" s="17">
        <f>A37*Scores!F8+B37*(SUM(Scores!F6:F11)-Scores!F8)</f>
        <v>52.271999999999998</v>
      </c>
      <c r="F37" s="7" t="str">
        <f>INDEX({"A","B","C"},MATCH(MAX(C37:E37),C37:E37,0))</f>
        <v>A</v>
      </c>
    </row>
    <row r="38" spans="1:6" x14ac:dyDescent="0.2">
      <c r="A38" s="20">
        <v>0.66</v>
      </c>
      <c r="B38" s="21">
        <f t="shared" si="1"/>
        <v>6.7999999999999991E-2</v>
      </c>
      <c r="C38" s="17">
        <f>A38*Scores!D8+B38*(SUM(Scores!D6:D11)-Scores!D8)</f>
        <v>76.84</v>
      </c>
      <c r="D38" s="17">
        <f>A38*Scores!E8+B38*(SUM(Scores!E6:E11)-Scores!E8)</f>
        <v>25.78</v>
      </c>
      <c r="E38" s="17">
        <f>A38*Scores!F8+B38*(SUM(Scores!F6:F11)-Scores!F8)</f>
        <v>51.867999999999995</v>
      </c>
      <c r="F38" s="7" t="str">
        <f>INDEX({"A","B","C"},MATCH(MAX(C38:E38),C38:E38,0))</f>
        <v>A</v>
      </c>
    </row>
    <row r="39" spans="1:6" x14ac:dyDescent="0.2">
      <c r="A39" s="20">
        <v>0.68</v>
      </c>
      <c r="B39" s="21">
        <f t="shared" si="1"/>
        <v>6.3999999999999987E-2</v>
      </c>
      <c r="C39" s="17">
        <f>A39*Scores!D8+B39*(SUM(Scores!D6:D11)-Scores!D8)</f>
        <v>77.319999999999993</v>
      </c>
      <c r="D39" s="17">
        <f>A39*Scores!E8+B39*(SUM(Scores!E6:E11)-Scores!E8)</f>
        <v>25.439999999999998</v>
      </c>
      <c r="E39" s="17">
        <f>A39*Scores!F8+B39*(SUM(Scores!F6:F11)-Scores!F8)</f>
        <v>51.463999999999999</v>
      </c>
      <c r="F39" s="7" t="str">
        <f>INDEX({"A","B","C"},MATCH(MAX(C39:E39),C39:E39,0))</f>
        <v>A</v>
      </c>
    </row>
    <row r="40" spans="1:6" x14ac:dyDescent="0.2">
      <c r="A40" s="20">
        <v>0.7</v>
      </c>
      <c r="B40" s="21">
        <f t="shared" si="1"/>
        <v>6.0000000000000012E-2</v>
      </c>
      <c r="C40" s="17">
        <f>A40*Scores!D8+B40*(SUM(Scores!D6:D11)-Scores!D8)</f>
        <v>77.8</v>
      </c>
      <c r="D40" s="17">
        <f>A40*Scores!E8+B40*(SUM(Scores!E6:E11)-Scores!E8)</f>
        <v>25.1</v>
      </c>
      <c r="E40" s="17">
        <f>A40*Scores!F8+B40*(SUM(Scores!F6:F11)-Scores!F8)</f>
        <v>51.06</v>
      </c>
      <c r="F40" s="7" t="str">
        <f>INDEX({"A","B","C"},MATCH(MAX(C40:E40),C40:E40,0))</f>
        <v>A</v>
      </c>
    </row>
    <row r="41" spans="1:6" x14ac:dyDescent="0.2">
      <c r="A41" s="20">
        <v>0.72</v>
      </c>
      <c r="B41" s="21">
        <f t="shared" si="1"/>
        <v>5.6000000000000008E-2</v>
      </c>
      <c r="C41" s="17">
        <f>A41*Scores!D8+B41*(SUM(Scores!D6:D11)-Scores!D8)</f>
        <v>78.28</v>
      </c>
      <c r="D41" s="17">
        <f>A41*Scores!E8+B41*(SUM(Scores!E6:E11)-Scores!E8)</f>
        <v>24.759999999999998</v>
      </c>
      <c r="E41" s="17">
        <f>A41*Scores!F8+B41*(SUM(Scores!F6:F11)-Scores!F8)</f>
        <v>50.656000000000006</v>
      </c>
      <c r="F41" s="7" t="str">
        <f>INDEX({"A","B","C"},MATCH(MAX(C41:E41),C41:E41,0))</f>
        <v>A</v>
      </c>
    </row>
    <row r="42" spans="1:6" x14ac:dyDescent="0.2">
      <c r="A42" s="20">
        <v>0.74</v>
      </c>
      <c r="B42" s="21">
        <f t="shared" si="1"/>
        <v>5.2000000000000005E-2</v>
      </c>
      <c r="C42" s="17">
        <f>A42*Scores!D8+B42*(SUM(Scores!D6:D11)-Scores!D8)</f>
        <v>78.760000000000005</v>
      </c>
      <c r="D42" s="17">
        <f>A42*Scores!E8+B42*(SUM(Scores!E6:E11)-Scores!E8)</f>
        <v>24.42</v>
      </c>
      <c r="E42" s="17">
        <f>A42*Scores!F8+B42*(SUM(Scores!F6:F11)-Scores!F8)</f>
        <v>50.251999999999995</v>
      </c>
      <c r="F42" s="7" t="str">
        <f>INDEX({"A","B","C"},MATCH(MAX(C42:E42),C42:E42,0))</f>
        <v>A</v>
      </c>
    </row>
    <row r="43" spans="1:6" x14ac:dyDescent="0.2">
      <c r="A43" s="20">
        <v>0.76</v>
      </c>
      <c r="B43" s="21">
        <f t="shared" si="1"/>
        <v>4.8000000000000001E-2</v>
      </c>
      <c r="C43" s="17">
        <f>A43*Scores!D8+B43*(SUM(Scores!D6:D11)-Scores!D8)</f>
        <v>79.239999999999995</v>
      </c>
      <c r="D43" s="17">
        <f>A43*Scores!E8+B43*(SUM(Scores!E6:E11)-Scores!E8)</f>
        <v>24.08</v>
      </c>
      <c r="E43" s="17">
        <f>A43*Scores!F8+B43*(SUM(Scores!F6:F11)-Scores!F8)</f>
        <v>49.847999999999999</v>
      </c>
      <c r="F43" s="7" t="str">
        <f>INDEX({"A","B","C"},MATCH(MAX(C43:E43),C43:E43,0))</f>
        <v>A</v>
      </c>
    </row>
    <row r="44" spans="1:6" x14ac:dyDescent="0.2">
      <c r="A44" s="20">
        <v>0.78</v>
      </c>
      <c r="B44" s="21">
        <f t="shared" si="1"/>
        <v>4.3999999999999997E-2</v>
      </c>
      <c r="C44" s="17">
        <f>A44*Scores!D8+B44*(SUM(Scores!D6:D11)-Scores!D8)</f>
        <v>79.72</v>
      </c>
      <c r="D44" s="17">
        <f>A44*Scores!E8+B44*(SUM(Scores!E6:E11)-Scores!E8)</f>
        <v>23.740000000000002</v>
      </c>
      <c r="E44" s="17">
        <f>A44*Scores!F8+B44*(SUM(Scores!F6:F11)-Scores!F8)</f>
        <v>49.444000000000003</v>
      </c>
      <c r="F44" s="7" t="str">
        <f>INDEX({"A","B","C"},MATCH(MAX(C44:E44),C44:E44,0))</f>
        <v>A</v>
      </c>
    </row>
    <row r="45" spans="1:6" x14ac:dyDescent="0.2">
      <c r="A45" s="20">
        <v>0.8</v>
      </c>
      <c r="B45" s="21">
        <f t="shared" si="1"/>
        <v>3.9999999999999994E-2</v>
      </c>
      <c r="C45" s="17">
        <f>A45*Scores!D8+B45*(SUM(Scores!D6:D11)-Scores!D8)</f>
        <v>80.2</v>
      </c>
      <c r="D45" s="17">
        <f>A45*Scores!E8+B45*(SUM(Scores!E6:E11)-Scores!E8)</f>
        <v>23.4</v>
      </c>
      <c r="E45" s="17">
        <f>A45*Scores!F8+B45*(SUM(Scores!F6:F11)-Scores!F8)</f>
        <v>49.04</v>
      </c>
      <c r="F45" s="7" t="str">
        <f>INDEX({"A","B","C"},MATCH(MAX(C45:E45),C45:E45,0))</f>
        <v>A</v>
      </c>
    </row>
    <row r="46" spans="1:6" x14ac:dyDescent="0.2">
      <c r="A46" s="20">
        <v>0.82</v>
      </c>
      <c r="B46" s="21">
        <f t="shared" si="1"/>
        <v>3.6000000000000011E-2</v>
      </c>
      <c r="C46" s="17">
        <f>A46*Scores!D8+B46*(SUM(Scores!D6:D11)-Scores!D8)</f>
        <v>80.680000000000007</v>
      </c>
      <c r="D46" s="17">
        <f>A46*Scores!E8+B46*(SUM(Scores!E6:E11)-Scores!E8)</f>
        <v>23.060000000000002</v>
      </c>
      <c r="E46" s="17">
        <f>A46*Scores!F8+B46*(SUM(Scores!F6:F11)-Scores!F8)</f>
        <v>48.636000000000003</v>
      </c>
      <c r="F46" s="7" t="str">
        <f>INDEX({"A","B","C"},MATCH(MAX(C46:E46),C46:E46,0))</f>
        <v>A</v>
      </c>
    </row>
    <row r="47" spans="1:6" x14ac:dyDescent="0.2">
      <c r="A47" s="20">
        <v>0.84</v>
      </c>
      <c r="B47" s="21">
        <f t="shared" si="1"/>
        <v>3.2000000000000008E-2</v>
      </c>
      <c r="C47" s="17">
        <f>A47*Scores!D8+B47*(SUM(Scores!D6:D11)-Scores!D8)</f>
        <v>81.16</v>
      </c>
      <c r="D47" s="17">
        <f>A47*Scores!E8+B47*(SUM(Scores!E6:E11)-Scores!E8)</f>
        <v>22.720000000000002</v>
      </c>
      <c r="E47" s="17">
        <f>A47*Scores!F8+B47*(SUM(Scores!F6:F11)-Scores!F8)</f>
        <v>48.231999999999999</v>
      </c>
      <c r="F47" s="7" t="str">
        <f>INDEX({"A","B","C"},MATCH(MAX(C47:E47),C47:E47,0))</f>
        <v>A</v>
      </c>
    </row>
    <row r="48" spans="1:6" x14ac:dyDescent="0.2">
      <c r="A48" s="20">
        <v>0.86</v>
      </c>
      <c r="B48" s="21">
        <f t="shared" si="1"/>
        <v>2.8000000000000004E-2</v>
      </c>
      <c r="C48" s="17">
        <f>A48*Scores!D8+B48*(SUM(Scores!D6:D11)-Scores!D8)</f>
        <v>81.64</v>
      </c>
      <c r="D48" s="17">
        <f>A48*Scores!E8+B48*(SUM(Scores!E6:E11)-Scores!E8)</f>
        <v>22.38</v>
      </c>
      <c r="E48" s="17">
        <f>A48*Scores!F8+B48*(SUM(Scores!F6:F11)-Scores!F8)</f>
        <v>47.828000000000003</v>
      </c>
      <c r="F48" s="7" t="str">
        <f>INDEX({"A","B","C"},MATCH(MAX(C48:E48),C48:E48,0))</f>
        <v>A</v>
      </c>
    </row>
    <row r="49" spans="1:6" x14ac:dyDescent="0.2">
      <c r="A49" s="20">
        <v>0.88</v>
      </c>
      <c r="B49" s="21">
        <f t="shared" si="1"/>
        <v>2.4E-2</v>
      </c>
      <c r="C49" s="17">
        <f>A49*Scores!D8+B49*(SUM(Scores!D6:D11)-Scores!D8)</f>
        <v>82.12</v>
      </c>
      <c r="D49" s="17">
        <f>A49*Scores!E8+B49*(SUM(Scores!E6:E11)-Scores!E8)</f>
        <v>22.040000000000003</v>
      </c>
      <c r="E49" s="17">
        <f>A49*Scores!F8+B49*(SUM(Scores!F6:F11)-Scores!F8)</f>
        <v>47.423999999999999</v>
      </c>
      <c r="F49" s="7" t="str">
        <f>INDEX({"A","B","C"},MATCH(MAX(C49:E49),C49:E49,0))</f>
        <v>A</v>
      </c>
    </row>
    <row r="50" spans="1:6" x14ac:dyDescent="0.2">
      <c r="A50" s="20">
        <v>0.9</v>
      </c>
      <c r="B50" s="21">
        <f t="shared" si="1"/>
        <v>1.9999999999999997E-2</v>
      </c>
      <c r="C50" s="17">
        <f>A50*Scores!D8+B50*(SUM(Scores!D6:D11)-Scores!D8)</f>
        <v>82.6</v>
      </c>
      <c r="D50" s="17">
        <f>A50*Scores!E8+B50*(SUM(Scores!E6:E11)-Scores!E8)</f>
        <v>21.7</v>
      </c>
      <c r="E50" s="17">
        <f>A50*Scores!F8+B50*(SUM(Scores!F6:F11)-Scores!F8)</f>
        <v>47.019999999999996</v>
      </c>
      <c r="F50" s="7" t="str">
        <f>INDEX({"A","B","C"},MATCH(MAX(C50:E50),C50:E50,0))</f>
        <v>A</v>
      </c>
    </row>
    <row r="51" spans="1:6" x14ac:dyDescent="0.2">
      <c r="A51" s="20">
        <v>0.92</v>
      </c>
      <c r="B51" s="21">
        <f t="shared" si="1"/>
        <v>1.5999999999999993E-2</v>
      </c>
      <c r="C51" s="17">
        <f>A51*Scores!D8+B51*(SUM(Scores!D6:D11)-Scores!D8)</f>
        <v>83.08</v>
      </c>
      <c r="D51" s="17">
        <f>A51*Scores!E8+B51*(SUM(Scores!E6:E11)-Scores!E8)</f>
        <v>21.36</v>
      </c>
      <c r="E51" s="17">
        <f>A51*Scores!F8+B51*(SUM(Scores!F6:F11)-Scores!F8)</f>
        <v>46.616</v>
      </c>
      <c r="F51" s="7" t="str">
        <f>INDEX({"A","B","C"},MATCH(MAX(C51:E51),C51:E51,0))</f>
        <v>A</v>
      </c>
    </row>
    <row r="52" spans="1:6" x14ac:dyDescent="0.2">
      <c r="A52" s="20">
        <v>0.94</v>
      </c>
      <c r="B52" s="21">
        <f t="shared" si="1"/>
        <v>1.2000000000000011E-2</v>
      </c>
      <c r="C52" s="17">
        <f>A52*Scores!D8+B52*(SUM(Scores!D6:D11)-Scores!D8)</f>
        <v>83.559999999999988</v>
      </c>
      <c r="D52" s="17">
        <f>A52*Scores!E8+B52*(SUM(Scores!E6:E11)-Scores!E8)</f>
        <v>21.02</v>
      </c>
      <c r="E52" s="17">
        <f>A52*Scores!F8+B52*(SUM(Scores!F6:F11)-Scores!F8)</f>
        <v>46.212000000000003</v>
      </c>
      <c r="F52" s="7" t="str">
        <f>INDEX({"A","B","C"},MATCH(MAX(C52:E52),C52:E52,0))</f>
        <v>A</v>
      </c>
    </row>
    <row r="53" spans="1:6" x14ac:dyDescent="0.2">
      <c r="A53" s="20">
        <v>0.96</v>
      </c>
      <c r="B53" s="21">
        <f t="shared" si="1"/>
        <v>8.0000000000000071E-3</v>
      </c>
      <c r="C53" s="17">
        <f>A53*Scores!D8+B53*(SUM(Scores!D6:D11)-Scores!D8)</f>
        <v>84.039999999999992</v>
      </c>
      <c r="D53" s="17">
        <f>A53*Scores!E8+B53*(SUM(Scores!E6:E11)-Scores!E8)</f>
        <v>20.68</v>
      </c>
      <c r="E53" s="17">
        <f>A53*Scores!F8+B53*(SUM(Scores!F6:F11)-Scores!F8)</f>
        <v>45.808</v>
      </c>
      <c r="F53" s="7" t="str">
        <f>INDEX({"A","B","C"},MATCH(MAX(C53:E53),C53:E53,0))</f>
        <v>A</v>
      </c>
    </row>
    <row r="54" spans="1:6" x14ac:dyDescent="0.2">
      <c r="A54" s="20">
        <v>0.98</v>
      </c>
      <c r="B54" s="21">
        <f t="shared" si="1"/>
        <v>4.0000000000000036E-3</v>
      </c>
      <c r="C54" s="17">
        <f>A54*Scores!D8+B54*(SUM(Scores!D6:D11)-Scores!D8)</f>
        <v>84.52</v>
      </c>
      <c r="D54" s="17">
        <f>A54*Scores!E8+B54*(SUM(Scores!E6:E11)-Scores!E8)</f>
        <v>20.340000000000003</v>
      </c>
      <c r="E54" s="17">
        <f>A54*Scores!F8+B54*(SUM(Scores!F6:F11)-Scores!F8)</f>
        <v>45.404000000000003</v>
      </c>
      <c r="F54" s="7" t="str">
        <f>INDEX({"A","B","C"},MATCH(MAX(C54:E54),C54:E54,0))</f>
        <v>A</v>
      </c>
    </row>
    <row r="55" spans="1:6" x14ac:dyDescent="0.2">
      <c r="A55" s="20">
        <v>1</v>
      </c>
      <c r="B55" s="21">
        <f t="shared" si="1"/>
        <v>0</v>
      </c>
      <c r="C55" s="17">
        <f>A55*Scores!D8+B55*(SUM(Scores!D6:D11)-Scores!D8)</f>
        <v>85</v>
      </c>
      <c r="D55" s="17">
        <f>A55*Scores!E8+B55*(SUM(Scores!E6:E11)-Scores!E8)</f>
        <v>20</v>
      </c>
      <c r="E55" s="17">
        <f>A55*Scores!F8+B55*(SUM(Scores!F6:F11)-Scores!F8)</f>
        <v>45</v>
      </c>
      <c r="F55" s="7" t="str">
        <f>INDEX({"A","B","C"},MATCH(MAX(C55:E55),C55:E55,0))</f>
        <v>A</v>
      </c>
    </row>
    <row r="57" spans="1:6" x14ac:dyDescent="0.2">
      <c r="A57" s="2" t="s">
        <v>55</v>
      </c>
      <c r="B57" s="2"/>
      <c r="C57" s="22">
        <f>IFERROR(((SUM(Scores!F6:F11)-Scores!F8)-(SUM(Scores!E6:E11)-Scores!E8))/(5*(Scores!E8-Scores!F8)+(SUM(Scores!F6:F11)-Scores!F8)-(SUM(Scores!E6:E11)-Scores!E8)),"undefined")</f>
        <v>8.8125</v>
      </c>
    </row>
    <row r="58" spans="1:6" x14ac:dyDescent="0.2">
      <c r="A58" s="2" t="s">
        <v>56</v>
      </c>
      <c r="B58" s="2"/>
      <c r="C58" s="22">
        <f>IFERROR(((SUM(Scores!F6:F11)-Scores!F8)-(SUM(Scores!D6:D11)-Scores!D8))/(5*(Scores!D8-Scores!F8)+(SUM(Scores!F6:F11)-Scores!F8)-(SUM(Scores!D6:D11)-Scores!D8)),"undefined")</f>
        <v>9.5022624434389136E-2</v>
      </c>
    </row>
    <row r="60" spans="1:6" ht="15" customHeight="1" x14ac:dyDescent="0.2">
      <c r="A60" s="3" t="s">
        <v>57</v>
      </c>
      <c r="B60" s="3"/>
      <c r="C60" s="3"/>
      <c r="D60" s="3"/>
      <c r="E60" s="3"/>
      <c r="F60" s="3"/>
    </row>
    <row r="61" spans="1:6" x14ac:dyDescent="0.2">
      <c r="A61" s="3"/>
      <c r="B61" s="3"/>
      <c r="C61" s="3"/>
      <c r="D61" s="3"/>
      <c r="E61" s="3"/>
      <c r="F61" s="3"/>
    </row>
  </sheetData>
  <mergeCells count="5">
    <mergeCell ref="A1:F1"/>
    <mergeCell ref="A2:F3"/>
    <mergeCell ref="A57:B57"/>
    <mergeCell ref="A58:B58"/>
    <mergeCell ref="A60:F6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1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6" width="12" customWidth="1"/>
  </cols>
  <sheetData>
    <row r="1" spans="1:6" ht="18" x14ac:dyDescent="0.2">
      <c r="A1" s="4" t="s">
        <v>64</v>
      </c>
      <c r="B1" s="4"/>
      <c r="C1" s="4"/>
      <c r="D1" s="4"/>
      <c r="E1" s="4"/>
      <c r="F1" s="4"/>
    </row>
    <row r="2" spans="1:6" ht="15" customHeight="1" x14ac:dyDescent="0.2">
      <c r="A2" s="3" t="s">
        <v>65</v>
      </c>
      <c r="B2" s="3"/>
      <c r="C2" s="3"/>
      <c r="D2" s="3"/>
      <c r="E2" s="3"/>
      <c r="F2" s="3"/>
    </row>
    <row r="3" spans="1:6" x14ac:dyDescent="0.2">
      <c r="A3" s="3"/>
      <c r="B3" s="3"/>
      <c r="C3" s="3"/>
      <c r="D3" s="3"/>
      <c r="E3" s="3"/>
      <c r="F3" s="3"/>
    </row>
    <row r="4" spans="1:6" x14ac:dyDescent="0.2">
      <c r="A4" s="6" t="s">
        <v>66</v>
      </c>
      <c r="B4" s="6" t="s">
        <v>53</v>
      </c>
      <c r="C4" s="6" t="s">
        <v>6</v>
      </c>
      <c r="D4" s="6" t="s">
        <v>7</v>
      </c>
      <c r="E4" s="6" t="s">
        <v>8</v>
      </c>
      <c r="F4" s="6" t="s">
        <v>54</v>
      </c>
    </row>
    <row r="5" spans="1:6" x14ac:dyDescent="0.2">
      <c r="A5" s="20">
        <v>0</v>
      </c>
      <c r="B5" s="21">
        <f t="shared" ref="B5:B36" si="0">(1-A5)/5</f>
        <v>0.2</v>
      </c>
      <c r="C5" s="17">
        <f>A5*Scores!D9+B5*(SUM(Scores!D6:D11)-Scores!D9)</f>
        <v>59</v>
      </c>
      <c r="D5" s="17">
        <f>A5*Scores!E9+B5*(SUM(Scores!E6:E11)-Scores!E9)</f>
        <v>37</v>
      </c>
      <c r="E5" s="17">
        <f>A5*Scores!F9+B5*(SUM(Scores!F6:F11)-Scores!F9)</f>
        <v>63.2</v>
      </c>
      <c r="F5" s="7" t="str">
        <f>INDEX({"A","B","C"},MATCH(MAX(C5:E5),C5:E5,0))</f>
        <v>C</v>
      </c>
    </row>
    <row r="6" spans="1:6" x14ac:dyDescent="0.2">
      <c r="A6" s="20">
        <v>0.02</v>
      </c>
      <c r="B6" s="21">
        <f t="shared" si="0"/>
        <v>0.19600000000000001</v>
      </c>
      <c r="C6" s="17">
        <f>A6*Scores!D9+B6*(SUM(Scores!D6:D11)-Scores!D9)</f>
        <v>59.72</v>
      </c>
      <c r="D6" s="17">
        <f>A6*Scores!E9+B6*(SUM(Scores!E6:E11)-Scores!E9)</f>
        <v>36.659999999999997</v>
      </c>
      <c r="E6" s="17">
        <f>A6*Scores!F9+B6*(SUM(Scores!F6:F11)-Scores!F9)</f>
        <v>63.036000000000001</v>
      </c>
      <c r="F6" s="7" t="str">
        <f>INDEX({"A","B","C"},MATCH(MAX(C6:E6),C6:E6,0))</f>
        <v>C</v>
      </c>
    </row>
    <row r="7" spans="1:6" x14ac:dyDescent="0.2">
      <c r="A7" s="20">
        <v>0.04</v>
      </c>
      <c r="B7" s="21">
        <f t="shared" si="0"/>
        <v>0.192</v>
      </c>
      <c r="C7" s="17">
        <f>A7*Scores!D9+B7*(SUM(Scores!D6:D11)-Scores!D9)</f>
        <v>60.44</v>
      </c>
      <c r="D7" s="17">
        <f>A7*Scores!E9+B7*(SUM(Scores!E6:E11)-Scores!E9)</f>
        <v>36.32</v>
      </c>
      <c r="E7" s="17">
        <f>A7*Scores!F9+B7*(SUM(Scores!F6:F11)-Scores!F9)</f>
        <v>62.872000000000007</v>
      </c>
      <c r="F7" s="7" t="str">
        <f>INDEX({"A","B","C"},MATCH(MAX(C7:E7),C7:E7,0))</f>
        <v>C</v>
      </c>
    </row>
    <row r="8" spans="1:6" x14ac:dyDescent="0.2">
      <c r="A8" s="20">
        <v>0.06</v>
      </c>
      <c r="B8" s="21">
        <f t="shared" si="0"/>
        <v>0.188</v>
      </c>
      <c r="C8" s="17">
        <f>A8*Scores!D9+B8*(SUM(Scores!D6:D11)-Scores!D9)</f>
        <v>61.160000000000004</v>
      </c>
      <c r="D8" s="17">
        <f>A8*Scores!E9+B8*(SUM(Scores!E6:E11)-Scores!E9)</f>
        <v>35.980000000000004</v>
      </c>
      <c r="E8" s="17">
        <f>A8*Scores!F9+B8*(SUM(Scores!F6:F11)-Scores!F9)</f>
        <v>62.707999999999998</v>
      </c>
      <c r="F8" s="7" t="str">
        <f>INDEX({"A","B","C"},MATCH(MAX(C8:E8),C8:E8,0))</f>
        <v>C</v>
      </c>
    </row>
    <row r="9" spans="1:6" x14ac:dyDescent="0.2">
      <c r="A9" s="20">
        <v>0.08</v>
      </c>
      <c r="B9" s="21">
        <f t="shared" si="0"/>
        <v>0.184</v>
      </c>
      <c r="C9" s="17">
        <f>A9*Scores!D9+B9*(SUM(Scores!D6:D11)-Scores!D9)</f>
        <v>61.88</v>
      </c>
      <c r="D9" s="17">
        <f>A9*Scores!E9+B9*(SUM(Scores!E6:E11)-Scores!E9)</f>
        <v>35.64</v>
      </c>
      <c r="E9" s="17">
        <f>A9*Scores!F9+B9*(SUM(Scores!F6:F11)-Scores!F9)</f>
        <v>62.543999999999997</v>
      </c>
      <c r="F9" s="7" t="str">
        <f>INDEX({"A","B","C"},MATCH(MAX(C9:E9),C9:E9,0))</f>
        <v>C</v>
      </c>
    </row>
    <row r="10" spans="1:6" x14ac:dyDescent="0.2">
      <c r="A10" s="20">
        <v>0.1</v>
      </c>
      <c r="B10" s="21">
        <f t="shared" si="0"/>
        <v>0.18</v>
      </c>
      <c r="C10" s="17">
        <f>A10*Scores!D9+B10*(SUM(Scores!D6:D11)-Scores!D9)</f>
        <v>62.6</v>
      </c>
      <c r="D10" s="17">
        <f>A10*Scores!E9+B10*(SUM(Scores!E6:E11)-Scores!E9)</f>
        <v>35.299999999999997</v>
      </c>
      <c r="E10" s="17">
        <f>A10*Scores!F9+B10*(SUM(Scores!F6:F11)-Scores!F9)</f>
        <v>62.379999999999995</v>
      </c>
      <c r="F10" s="7" t="str">
        <f>INDEX({"A","B","C"},MATCH(MAX(C10:E10),C10:E10,0))</f>
        <v>A</v>
      </c>
    </row>
    <row r="11" spans="1:6" x14ac:dyDescent="0.2">
      <c r="A11" s="20">
        <v>0.12</v>
      </c>
      <c r="B11" s="21">
        <f t="shared" si="0"/>
        <v>0.17599999999999999</v>
      </c>
      <c r="C11" s="17">
        <f>A11*Scores!D9+B11*(SUM(Scores!D6:D11)-Scores!D9)</f>
        <v>63.319999999999993</v>
      </c>
      <c r="D11" s="17">
        <f>A11*Scores!E9+B11*(SUM(Scores!E6:E11)-Scores!E9)</f>
        <v>34.959999999999994</v>
      </c>
      <c r="E11" s="17">
        <f>A11*Scores!F9+B11*(SUM(Scores!F6:F11)-Scores!F9)</f>
        <v>62.216000000000001</v>
      </c>
      <c r="F11" s="7" t="str">
        <f>INDEX({"A","B","C"},MATCH(MAX(C11:E11),C11:E11,0))</f>
        <v>A</v>
      </c>
    </row>
    <row r="12" spans="1:6" x14ac:dyDescent="0.2">
      <c r="A12" s="20">
        <v>0.14000000000000001</v>
      </c>
      <c r="B12" s="21">
        <f t="shared" si="0"/>
        <v>0.17199999999999999</v>
      </c>
      <c r="C12" s="17">
        <f>A12*Scores!D9+B12*(SUM(Scores!D6:D11)-Scores!D9)</f>
        <v>64.039999999999992</v>
      </c>
      <c r="D12" s="17">
        <f>A12*Scores!E9+B12*(SUM(Scores!E6:E11)-Scores!E9)</f>
        <v>34.619999999999997</v>
      </c>
      <c r="E12" s="17">
        <f>A12*Scores!F9+B12*(SUM(Scores!F6:F11)-Scores!F9)</f>
        <v>62.052</v>
      </c>
      <c r="F12" s="7" t="str">
        <f>INDEX({"A","B","C"},MATCH(MAX(C12:E12),C12:E12,0))</f>
        <v>A</v>
      </c>
    </row>
    <row r="13" spans="1:6" x14ac:dyDescent="0.2">
      <c r="A13" s="20">
        <v>0.16</v>
      </c>
      <c r="B13" s="21">
        <f t="shared" si="0"/>
        <v>0.16799999999999998</v>
      </c>
      <c r="C13" s="17">
        <f>A13*Scores!D9+B13*(SUM(Scores!D6:D11)-Scores!D9)</f>
        <v>64.759999999999991</v>
      </c>
      <c r="D13" s="17">
        <f>A13*Scores!E9+B13*(SUM(Scores!E6:E11)-Scores!E9)</f>
        <v>34.28</v>
      </c>
      <c r="E13" s="17">
        <f>A13*Scores!F9+B13*(SUM(Scores!F6:F11)-Scores!F9)</f>
        <v>61.887999999999991</v>
      </c>
      <c r="F13" s="7" t="str">
        <f>INDEX({"A","B","C"},MATCH(MAX(C13:E13),C13:E13,0))</f>
        <v>A</v>
      </c>
    </row>
    <row r="14" spans="1:6" x14ac:dyDescent="0.2">
      <c r="A14" s="20">
        <v>0.18</v>
      </c>
      <c r="B14" s="21">
        <f t="shared" si="0"/>
        <v>0.16400000000000001</v>
      </c>
      <c r="C14" s="17">
        <f>A14*Scores!D9+B14*(SUM(Scores!D6:D11)-Scores!D9)</f>
        <v>65.48</v>
      </c>
      <c r="D14" s="17">
        <f>A14*Scores!E9+B14*(SUM(Scores!E6:E11)-Scores!E9)</f>
        <v>33.94</v>
      </c>
      <c r="E14" s="17">
        <f>A14*Scores!F9+B14*(SUM(Scores!F6:F11)-Scores!F9)</f>
        <v>61.724000000000004</v>
      </c>
      <c r="F14" s="7" t="str">
        <f>INDEX({"A","B","C"},MATCH(MAX(C14:E14),C14:E14,0))</f>
        <v>A</v>
      </c>
    </row>
    <row r="15" spans="1:6" x14ac:dyDescent="0.2">
      <c r="A15" s="20">
        <v>0.2</v>
      </c>
      <c r="B15" s="21">
        <f t="shared" si="0"/>
        <v>0.16</v>
      </c>
      <c r="C15" s="17">
        <f>A15*Scores!D9+B15*(SUM(Scores!D6:D11)-Scores!D9)</f>
        <v>66.2</v>
      </c>
      <c r="D15" s="17">
        <f>A15*Scores!E9+B15*(SUM(Scores!E6:E11)-Scores!E9)</f>
        <v>33.6</v>
      </c>
      <c r="E15" s="17">
        <f>A15*Scores!F9+B15*(SUM(Scores!F6:F11)-Scores!F9)</f>
        <v>61.56</v>
      </c>
      <c r="F15" s="7" t="str">
        <f>INDEX({"A","B","C"},MATCH(MAX(C15:E15),C15:E15,0))</f>
        <v>A</v>
      </c>
    </row>
    <row r="16" spans="1:6" x14ac:dyDescent="0.2">
      <c r="A16" s="20">
        <v>0.22</v>
      </c>
      <c r="B16" s="21">
        <f t="shared" si="0"/>
        <v>0.156</v>
      </c>
      <c r="C16" s="17">
        <f>A16*Scores!D9+B16*(SUM(Scores!D6:D11)-Scores!D9)</f>
        <v>66.92</v>
      </c>
      <c r="D16" s="17">
        <f>A16*Scores!E9+B16*(SUM(Scores!E6:E11)-Scores!E9)</f>
        <v>33.26</v>
      </c>
      <c r="E16" s="17">
        <f>A16*Scores!F9+B16*(SUM(Scores!F6:F11)-Scores!F9)</f>
        <v>61.396000000000001</v>
      </c>
      <c r="F16" s="7" t="str">
        <f>INDEX({"A","B","C"},MATCH(MAX(C16:E16),C16:E16,0))</f>
        <v>A</v>
      </c>
    </row>
    <row r="17" spans="1:6" x14ac:dyDescent="0.2">
      <c r="A17" s="20">
        <v>0.24</v>
      </c>
      <c r="B17" s="21">
        <f t="shared" si="0"/>
        <v>0.152</v>
      </c>
      <c r="C17" s="17">
        <f>A17*Scores!D9+B17*(SUM(Scores!D6:D11)-Scores!D9)</f>
        <v>67.64</v>
      </c>
      <c r="D17" s="17">
        <f>A17*Scores!E9+B17*(SUM(Scores!E6:E11)-Scores!E9)</f>
        <v>32.92</v>
      </c>
      <c r="E17" s="17">
        <f>A17*Scores!F9+B17*(SUM(Scores!F6:F11)-Scores!F9)</f>
        <v>61.231999999999999</v>
      </c>
      <c r="F17" s="7" t="str">
        <f>INDEX({"A","B","C"},MATCH(MAX(C17:E17),C17:E17,0))</f>
        <v>A</v>
      </c>
    </row>
    <row r="18" spans="1:6" x14ac:dyDescent="0.2">
      <c r="A18" s="20">
        <v>0.26</v>
      </c>
      <c r="B18" s="21">
        <f t="shared" si="0"/>
        <v>0.14799999999999999</v>
      </c>
      <c r="C18" s="17">
        <f>A18*Scores!D9+B18*(SUM(Scores!D6:D11)-Scores!D9)</f>
        <v>68.36</v>
      </c>
      <c r="D18" s="17">
        <f>A18*Scores!E9+B18*(SUM(Scores!E6:E11)-Scores!E9)</f>
        <v>32.58</v>
      </c>
      <c r="E18" s="17">
        <f>A18*Scores!F9+B18*(SUM(Scores!F6:F11)-Scores!F9)</f>
        <v>61.067999999999998</v>
      </c>
      <c r="F18" s="7" t="str">
        <f>INDEX({"A","B","C"},MATCH(MAX(C18:E18),C18:E18,0))</f>
        <v>A</v>
      </c>
    </row>
    <row r="19" spans="1:6" x14ac:dyDescent="0.2">
      <c r="A19" s="20">
        <v>0.28000000000000003</v>
      </c>
      <c r="B19" s="21">
        <f t="shared" si="0"/>
        <v>0.14399999999999999</v>
      </c>
      <c r="C19" s="17">
        <f>A19*Scores!D9+B19*(SUM(Scores!D6:D11)-Scores!D9)</f>
        <v>69.08</v>
      </c>
      <c r="D19" s="17">
        <f>A19*Scores!E9+B19*(SUM(Scores!E6:E11)-Scores!E9)</f>
        <v>32.239999999999995</v>
      </c>
      <c r="E19" s="17">
        <f>A19*Scores!F9+B19*(SUM(Scores!F6:F11)-Scores!F9)</f>
        <v>60.903999999999996</v>
      </c>
      <c r="F19" s="7" t="str">
        <f>INDEX({"A","B","C"},MATCH(MAX(C19:E19),C19:E19,0))</f>
        <v>A</v>
      </c>
    </row>
    <row r="20" spans="1:6" x14ac:dyDescent="0.2">
      <c r="A20" s="20">
        <v>0.3</v>
      </c>
      <c r="B20" s="21">
        <f t="shared" si="0"/>
        <v>0.13999999999999999</v>
      </c>
      <c r="C20" s="17">
        <f>A20*Scores!D9+B20*(SUM(Scores!D6:D11)-Scores!D9)</f>
        <v>69.8</v>
      </c>
      <c r="D20" s="17">
        <f>A20*Scores!E9+B20*(SUM(Scores!E6:E11)-Scores!E9)</f>
        <v>31.9</v>
      </c>
      <c r="E20" s="17">
        <f>A20*Scores!F9+B20*(SUM(Scores!F6:F11)-Scores!F9)</f>
        <v>60.739999999999995</v>
      </c>
      <c r="F20" s="7" t="str">
        <f>INDEX({"A","B","C"},MATCH(MAX(C20:E20),C20:E20,0))</f>
        <v>A</v>
      </c>
    </row>
    <row r="21" spans="1:6" x14ac:dyDescent="0.2">
      <c r="A21" s="20">
        <v>0.32</v>
      </c>
      <c r="B21" s="21">
        <f t="shared" si="0"/>
        <v>0.13599999999999998</v>
      </c>
      <c r="C21" s="17">
        <f>A21*Scores!D9+B21*(SUM(Scores!D6:D11)-Scores!D9)</f>
        <v>70.52</v>
      </c>
      <c r="D21" s="17">
        <f>A21*Scores!E9+B21*(SUM(Scores!E6:E11)-Scores!E9)</f>
        <v>31.559999999999995</v>
      </c>
      <c r="E21" s="17">
        <f>A21*Scores!F9+B21*(SUM(Scores!F6:F11)-Scores!F9)</f>
        <v>60.575999999999993</v>
      </c>
      <c r="F21" s="7" t="str">
        <f>INDEX({"A","B","C"},MATCH(MAX(C21:E21),C21:E21,0))</f>
        <v>A</v>
      </c>
    </row>
    <row r="22" spans="1:6" x14ac:dyDescent="0.2">
      <c r="A22" s="20">
        <v>0.34</v>
      </c>
      <c r="B22" s="21">
        <f t="shared" si="0"/>
        <v>0.13199999999999998</v>
      </c>
      <c r="C22" s="17">
        <f>A22*Scores!D9+B22*(SUM(Scores!D6:D11)-Scores!D9)</f>
        <v>71.239999999999995</v>
      </c>
      <c r="D22" s="17">
        <f>A22*Scores!E9+B22*(SUM(Scores!E6:E11)-Scores!E9)</f>
        <v>31.219999999999995</v>
      </c>
      <c r="E22" s="17">
        <f>A22*Scores!F9+B22*(SUM(Scores!F6:F11)-Scores!F9)</f>
        <v>60.411999999999999</v>
      </c>
      <c r="F22" s="7" t="str">
        <f>INDEX({"A","B","C"},MATCH(MAX(C22:E22),C22:E22,0))</f>
        <v>A</v>
      </c>
    </row>
    <row r="23" spans="1:6" x14ac:dyDescent="0.2">
      <c r="A23" s="20">
        <v>0.36</v>
      </c>
      <c r="B23" s="21">
        <f t="shared" si="0"/>
        <v>0.128</v>
      </c>
      <c r="C23" s="17">
        <f>A23*Scores!D9+B23*(SUM(Scores!D6:D11)-Scores!D9)</f>
        <v>71.959999999999994</v>
      </c>
      <c r="D23" s="17">
        <f>A23*Scores!E9+B23*(SUM(Scores!E6:E11)-Scores!E9)</f>
        <v>30.88</v>
      </c>
      <c r="E23" s="17">
        <f>A23*Scores!F9+B23*(SUM(Scores!F6:F11)-Scores!F9)</f>
        <v>60.248000000000005</v>
      </c>
      <c r="F23" s="7" t="str">
        <f>INDEX({"A","B","C"},MATCH(MAX(C23:E23),C23:E23,0))</f>
        <v>A</v>
      </c>
    </row>
    <row r="24" spans="1:6" x14ac:dyDescent="0.2">
      <c r="A24" s="20">
        <v>0.38</v>
      </c>
      <c r="B24" s="21">
        <f t="shared" si="0"/>
        <v>0.124</v>
      </c>
      <c r="C24" s="17">
        <f>A24*Scores!D9+B24*(SUM(Scores!D6:D11)-Scores!D9)</f>
        <v>72.680000000000007</v>
      </c>
      <c r="D24" s="17">
        <f>A24*Scores!E9+B24*(SUM(Scores!E6:E11)-Scores!E9)</f>
        <v>30.54</v>
      </c>
      <c r="E24" s="17">
        <f>A24*Scores!F9+B24*(SUM(Scores!F6:F11)-Scores!F9)</f>
        <v>60.083999999999996</v>
      </c>
      <c r="F24" s="7" t="str">
        <f>INDEX({"A","B","C"},MATCH(MAX(C24:E24),C24:E24,0))</f>
        <v>A</v>
      </c>
    </row>
    <row r="25" spans="1:6" x14ac:dyDescent="0.2">
      <c r="A25" s="20">
        <v>0.4</v>
      </c>
      <c r="B25" s="21">
        <f t="shared" si="0"/>
        <v>0.12</v>
      </c>
      <c r="C25" s="17">
        <f>A25*Scores!D9+B25*(SUM(Scores!D6:D11)-Scores!D9)</f>
        <v>73.400000000000006</v>
      </c>
      <c r="D25" s="17">
        <f>A25*Scores!E9+B25*(SUM(Scores!E6:E11)-Scores!E9)</f>
        <v>30.2</v>
      </c>
      <c r="E25" s="17">
        <f>A25*Scores!F9+B25*(SUM(Scores!F6:F11)-Scores!F9)</f>
        <v>59.92</v>
      </c>
      <c r="F25" s="7" t="str">
        <f>INDEX({"A","B","C"},MATCH(MAX(C25:E25),C25:E25,0))</f>
        <v>A</v>
      </c>
    </row>
    <row r="26" spans="1:6" x14ac:dyDescent="0.2">
      <c r="A26" s="20">
        <v>0.42</v>
      </c>
      <c r="B26" s="21">
        <f t="shared" si="0"/>
        <v>0.11600000000000002</v>
      </c>
      <c r="C26" s="17">
        <f>A26*Scores!D9+B26*(SUM(Scores!D6:D11)-Scores!D9)</f>
        <v>74.12</v>
      </c>
      <c r="D26" s="17">
        <f>A26*Scores!E9+B26*(SUM(Scores!E6:E11)-Scores!E9)</f>
        <v>29.860000000000007</v>
      </c>
      <c r="E26" s="17">
        <f>A26*Scores!F9+B26*(SUM(Scores!F6:F11)-Scores!F9)</f>
        <v>59.756</v>
      </c>
      <c r="F26" s="7" t="str">
        <f>INDEX({"A","B","C"},MATCH(MAX(C26:E26),C26:E26,0))</f>
        <v>A</v>
      </c>
    </row>
    <row r="27" spans="1:6" x14ac:dyDescent="0.2">
      <c r="A27" s="20">
        <v>0.44</v>
      </c>
      <c r="B27" s="21">
        <f t="shared" si="0"/>
        <v>0.11200000000000002</v>
      </c>
      <c r="C27" s="17">
        <f>A27*Scores!D9+B27*(SUM(Scores!D6:D11)-Scores!D9)</f>
        <v>74.84</v>
      </c>
      <c r="D27" s="17">
        <f>A27*Scores!E9+B27*(SUM(Scores!E6:E11)-Scores!E9)</f>
        <v>29.520000000000003</v>
      </c>
      <c r="E27" s="17">
        <f>A27*Scores!F9+B27*(SUM(Scores!F6:F11)-Scores!F9)</f>
        <v>59.591999999999999</v>
      </c>
      <c r="F27" s="7" t="str">
        <f>INDEX({"A","B","C"},MATCH(MAX(C27:E27),C27:E27,0))</f>
        <v>A</v>
      </c>
    </row>
    <row r="28" spans="1:6" x14ac:dyDescent="0.2">
      <c r="A28" s="20">
        <v>0.46</v>
      </c>
      <c r="B28" s="21">
        <f t="shared" si="0"/>
        <v>0.10800000000000001</v>
      </c>
      <c r="C28" s="17">
        <f>A28*Scores!D9+B28*(SUM(Scores!D6:D11)-Scores!D9)</f>
        <v>75.56</v>
      </c>
      <c r="D28" s="17">
        <f>A28*Scores!E9+B28*(SUM(Scores!E6:E11)-Scores!E9)</f>
        <v>29.180000000000007</v>
      </c>
      <c r="E28" s="17">
        <f>A28*Scores!F9+B28*(SUM(Scores!F6:F11)-Scores!F9)</f>
        <v>59.428000000000011</v>
      </c>
      <c r="F28" s="7" t="str">
        <f>INDEX({"A","B","C"},MATCH(MAX(C28:E28),C28:E28,0))</f>
        <v>A</v>
      </c>
    </row>
    <row r="29" spans="1:6" x14ac:dyDescent="0.2">
      <c r="A29" s="20">
        <v>0.48</v>
      </c>
      <c r="B29" s="21">
        <f t="shared" si="0"/>
        <v>0.10400000000000001</v>
      </c>
      <c r="C29" s="17">
        <f>A29*Scores!D9+B29*(SUM(Scores!D6:D11)-Scores!D9)</f>
        <v>76.28</v>
      </c>
      <c r="D29" s="17">
        <f>A29*Scores!E9+B29*(SUM(Scores!E6:E11)-Scores!E9)</f>
        <v>28.840000000000003</v>
      </c>
      <c r="E29" s="17">
        <f>A29*Scores!F9+B29*(SUM(Scores!F6:F11)-Scores!F9)</f>
        <v>59.264000000000003</v>
      </c>
      <c r="F29" s="7" t="str">
        <f>INDEX({"A","B","C"},MATCH(MAX(C29:E29),C29:E29,0))</f>
        <v>A</v>
      </c>
    </row>
    <row r="30" spans="1:6" x14ac:dyDescent="0.2">
      <c r="A30" s="20">
        <v>0.5</v>
      </c>
      <c r="B30" s="21">
        <f t="shared" si="0"/>
        <v>0.1</v>
      </c>
      <c r="C30" s="17">
        <f>A30*Scores!D9+B30*(SUM(Scores!D6:D11)-Scores!D9)</f>
        <v>77</v>
      </c>
      <c r="D30" s="17">
        <f>A30*Scores!E9+B30*(SUM(Scores!E6:E11)-Scores!E9)</f>
        <v>28.5</v>
      </c>
      <c r="E30" s="17">
        <f>A30*Scores!F9+B30*(SUM(Scores!F6:F11)-Scores!F9)</f>
        <v>59.1</v>
      </c>
      <c r="F30" s="7" t="str">
        <f>INDEX({"A","B","C"},MATCH(MAX(C30:E30),C30:E30,0))</f>
        <v>A</v>
      </c>
    </row>
    <row r="31" spans="1:6" x14ac:dyDescent="0.2">
      <c r="A31" s="20">
        <v>0.52</v>
      </c>
      <c r="B31" s="21">
        <f t="shared" si="0"/>
        <v>9.6000000000000002E-2</v>
      </c>
      <c r="C31" s="17">
        <f>A31*Scores!D9+B31*(SUM(Scores!D6:D11)-Scores!D9)</f>
        <v>77.72</v>
      </c>
      <c r="D31" s="17">
        <f>A31*Scores!E9+B31*(SUM(Scores!E6:E11)-Scores!E9)</f>
        <v>28.160000000000004</v>
      </c>
      <c r="E31" s="17">
        <f>A31*Scores!F9+B31*(SUM(Scores!F6:F11)-Scores!F9)</f>
        <v>58.936000000000007</v>
      </c>
      <c r="F31" s="7" t="str">
        <f>INDEX({"A","B","C"},MATCH(MAX(C31:E31),C31:E31,0))</f>
        <v>A</v>
      </c>
    </row>
    <row r="32" spans="1:6" x14ac:dyDescent="0.2">
      <c r="A32" s="20">
        <v>0.54</v>
      </c>
      <c r="B32" s="21">
        <f t="shared" si="0"/>
        <v>9.1999999999999998E-2</v>
      </c>
      <c r="C32" s="17">
        <f>A32*Scores!D9+B32*(SUM(Scores!D6:D11)-Scores!D9)</f>
        <v>78.44</v>
      </c>
      <c r="D32" s="17">
        <f>A32*Scores!E9+B32*(SUM(Scores!E6:E11)-Scores!E9)</f>
        <v>27.82</v>
      </c>
      <c r="E32" s="17">
        <f>A32*Scores!F9+B32*(SUM(Scores!F6:F11)-Scores!F9)</f>
        <v>58.772000000000006</v>
      </c>
      <c r="F32" s="7" t="str">
        <f>INDEX({"A","B","C"},MATCH(MAX(C32:E32),C32:E32,0))</f>
        <v>A</v>
      </c>
    </row>
    <row r="33" spans="1:6" x14ac:dyDescent="0.2">
      <c r="A33" s="20">
        <v>0.56000000000000005</v>
      </c>
      <c r="B33" s="21">
        <f t="shared" si="0"/>
        <v>8.7999999999999995E-2</v>
      </c>
      <c r="C33" s="17">
        <f>A33*Scores!D9+B33*(SUM(Scores!D6:D11)-Scores!D9)</f>
        <v>79.16</v>
      </c>
      <c r="D33" s="17">
        <f>A33*Scores!E9+B33*(SUM(Scores!E6:E11)-Scores!E9)</f>
        <v>27.479999999999997</v>
      </c>
      <c r="E33" s="17">
        <f>A33*Scores!F9+B33*(SUM(Scores!F6:F11)-Scores!F9)</f>
        <v>58.608000000000004</v>
      </c>
      <c r="F33" s="7" t="str">
        <f>INDEX({"A","B","C"},MATCH(MAX(C33:E33),C33:E33,0))</f>
        <v>A</v>
      </c>
    </row>
    <row r="34" spans="1:6" x14ac:dyDescent="0.2">
      <c r="A34" s="20">
        <v>0.57999999999999996</v>
      </c>
      <c r="B34" s="21">
        <f t="shared" si="0"/>
        <v>8.4000000000000005E-2</v>
      </c>
      <c r="C34" s="17">
        <f>A34*Scores!D9+B34*(SUM(Scores!D6:D11)-Scores!D9)</f>
        <v>79.88</v>
      </c>
      <c r="D34" s="17">
        <f>A34*Scores!E9+B34*(SUM(Scores!E6:E11)-Scores!E9)</f>
        <v>27.14</v>
      </c>
      <c r="E34" s="17">
        <f>A34*Scores!F9+B34*(SUM(Scores!F6:F11)-Scores!F9)</f>
        <v>58.444000000000003</v>
      </c>
      <c r="F34" s="7" t="str">
        <f>INDEX({"A","B","C"},MATCH(MAX(C34:E34),C34:E34,0))</f>
        <v>A</v>
      </c>
    </row>
    <row r="35" spans="1:6" x14ac:dyDescent="0.2">
      <c r="A35" s="20">
        <v>0.6</v>
      </c>
      <c r="B35" s="21">
        <f t="shared" si="0"/>
        <v>0.08</v>
      </c>
      <c r="C35" s="17">
        <f>A35*Scores!D9+B35*(SUM(Scores!D6:D11)-Scores!D9)</f>
        <v>80.599999999999994</v>
      </c>
      <c r="D35" s="17">
        <f>A35*Scores!E9+B35*(SUM(Scores!E6:E11)-Scores!E9)</f>
        <v>26.8</v>
      </c>
      <c r="E35" s="17">
        <f>A35*Scores!F9+B35*(SUM(Scores!F6:F11)-Scores!F9)</f>
        <v>58.28</v>
      </c>
      <c r="F35" s="7" t="str">
        <f>INDEX({"A","B","C"},MATCH(MAX(C35:E35),C35:E35,0))</f>
        <v>A</v>
      </c>
    </row>
    <row r="36" spans="1:6" x14ac:dyDescent="0.2">
      <c r="A36" s="20">
        <v>0.62</v>
      </c>
      <c r="B36" s="21">
        <f t="shared" si="0"/>
        <v>7.5999999999999998E-2</v>
      </c>
      <c r="C36" s="17">
        <f>A36*Scores!D9+B36*(SUM(Scores!D6:D11)-Scores!D9)</f>
        <v>81.319999999999993</v>
      </c>
      <c r="D36" s="17">
        <f>A36*Scores!E9+B36*(SUM(Scores!E6:E11)-Scores!E9)</f>
        <v>26.46</v>
      </c>
      <c r="E36" s="17">
        <f>A36*Scores!F9+B36*(SUM(Scores!F6:F11)-Scores!F9)</f>
        <v>58.116</v>
      </c>
      <c r="F36" s="7" t="str">
        <f>INDEX({"A","B","C"},MATCH(MAX(C36:E36),C36:E36,0))</f>
        <v>A</v>
      </c>
    </row>
    <row r="37" spans="1:6" x14ac:dyDescent="0.2">
      <c r="A37" s="20">
        <v>0.64</v>
      </c>
      <c r="B37" s="21">
        <f t="shared" ref="B37:B68" si="1">(1-A37)/5</f>
        <v>7.1999999999999995E-2</v>
      </c>
      <c r="C37" s="17">
        <f>A37*Scores!D9+B37*(SUM(Scores!D6:D11)-Scores!D9)</f>
        <v>82.04</v>
      </c>
      <c r="D37" s="17">
        <f>A37*Scores!E9+B37*(SUM(Scores!E6:E11)-Scores!E9)</f>
        <v>26.119999999999997</v>
      </c>
      <c r="E37" s="17">
        <f>A37*Scores!F9+B37*(SUM(Scores!F6:F11)-Scores!F9)</f>
        <v>57.951999999999998</v>
      </c>
      <c r="F37" s="7" t="str">
        <f>INDEX({"A","B","C"},MATCH(MAX(C37:E37),C37:E37,0))</f>
        <v>A</v>
      </c>
    </row>
    <row r="38" spans="1:6" x14ac:dyDescent="0.2">
      <c r="A38" s="20">
        <v>0.66</v>
      </c>
      <c r="B38" s="21">
        <f t="shared" si="1"/>
        <v>6.7999999999999991E-2</v>
      </c>
      <c r="C38" s="17">
        <f>A38*Scores!D9+B38*(SUM(Scores!D6:D11)-Scores!D9)</f>
        <v>82.76</v>
      </c>
      <c r="D38" s="17">
        <f>A38*Scores!E9+B38*(SUM(Scores!E6:E11)-Scores!E9)</f>
        <v>25.78</v>
      </c>
      <c r="E38" s="17">
        <f>A38*Scores!F9+B38*(SUM(Scores!F6:F11)-Scores!F9)</f>
        <v>57.787999999999997</v>
      </c>
      <c r="F38" s="7" t="str">
        <f>INDEX({"A","B","C"},MATCH(MAX(C38:E38),C38:E38,0))</f>
        <v>A</v>
      </c>
    </row>
    <row r="39" spans="1:6" x14ac:dyDescent="0.2">
      <c r="A39" s="20">
        <v>0.68</v>
      </c>
      <c r="B39" s="21">
        <f t="shared" si="1"/>
        <v>6.3999999999999987E-2</v>
      </c>
      <c r="C39" s="17">
        <f>A39*Scores!D9+B39*(SUM(Scores!D6:D11)-Scores!D9)</f>
        <v>83.48</v>
      </c>
      <c r="D39" s="17">
        <f>A39*Scores!E9+B39*(SUM(Scores!E6:E11)-Scores!E9)</f>
        <v>25.439999999999998</v>
      </c>
      <c r="E39" s="17">
        <f>A39*Scores!F9+B39*(SUM(Scores!F6:F11)-Scores!F9)</f>
        <v>57.624000000000002</v>
      </c>
      <c r="F39" s="7" t="str">
        <f>INDEX({"A","B","C"},MATCH(MAX(C39:E39),C39:E39,0))</f>
        <v>A</v>
      </c>
    </row>
    <row r="40" spans="1:6" x14ac:dyDescent="0.2">
      <c r="A40" s="20">
        <v>0.7</v>
      </c>
      <c r="B40" s="21">
        <f t="shared" si="1"/>
        <v>6.0000000000000012E-2</v>
      </c>
      <c r="C40" s="17">
        <f>A40*Scores!D9+B40*(SUM(Scores!D6:D11)-Scores!D9)</f>
        <v>84.2</v>
      </c>
      <c r="D40" s="17">
        <f>A40*Scores!E9+B40*(SUM(Scores!E6:E11)-Scores!E9)</f>
        <v>25.1</v>
      </c>
      <c r="E40" s="17">
        <f>A40*Scores!F9+B40*(SUM(Scores!F6:F11)-Scores!F9)</f>
        <v>57.460000000000008</v>
      </c>
      <c r="F40" s="7" t="str">
        <f>INDEX({"A","B","C"},MATCH(MAX(C40:E40),C40:E40,0))</f>
        <v>A</v>
      </c>
    </row>
    <row r="41" spans="1:6" x14ac:dyDescent="0.2">
      <c r="A41" s="20">
        <v>0.72</v>
      </c>
      <c r="B41" s="21">
        <f t="shared" si="1"/>
        <v>5.6000000000000008E-2</v>
      </c>
      <c r="C41" s="17">
        <f>A41*Scores!D9+B41*(SUM(Scores!D6:D11)-Scores!D9)</f>
        <v>84.919999999999987</v>
      </c>
      <c r="D41" s="17">
        <f>A41*Scores!E9+B41*(SUM(Scores!E6:E11)-Scores!E9)</f>
        <v>24.759999999999998</v>
      </c>
      <c r="E41" s="17">
        <f>A41*Scores!F9+B41*(SUM(Scores!F6:F11)-Scores!F9)</f>
        <v>57.296000000000006</v>
      </c>
      <c r="F41" s="7" t="str">
        <f>INDEX({"A","B","C"},MATCH(MAX(C41:E41),C41:E41,0))</f>
        <v>A</v>
      </c>
    </row>
    <row r="42" spans="1:6" x14ac:dyDescent="0.2">
      <c r="A42" s="20">
        <v>0.74</v>
      </c>
      <c r="B42" s="21">
        <f t="shared" si="1"/>
        <v>5.2000000000000005E-2</v>
      </c>
      <c r="C42" s="17">
        <f>A42*Scores!D9+B42*(SUM(Scores!D6:D11)-Scores!D9)</f>
        <v>85.64</v>
      </c>
      <c r="D42" s="17">
        <f>A42*Scores!E9+B42*(SUM(Scores!E6:E11)-Scores!E9)</f>
        <v>24.42</v>
      </c>
      <c r="E42" s="17">
        <f>A42*Scores!F9+B42*(SUM(Scores!F6:F11)-Scores!F9)</f>
        <v>57.132000000000005</v>
      </c>
      <c r="F42" s="7" t="str">
        <f>INDEX({"A","B","C"},MATCH(MAX(C42:E42),C42:E42,0))</f>
        <v>A</v>
      </c>
    </row>
    <row r="43" spans="1:6" x14ac:dyDescent="0.2">
      <c r="A43" s="20">
        <v>0.76</v>
      </c>
      <c r="B43" s="21">
        <f t="shared" si="1"/>
        <v>4.8000000000000001E-2</v>
      </c>
      <c r="C43" s="17">
        <f>A43*Scores!D9+B43*(SUM(Scores!D6:D11)-Scores!D9)</f>
        <v>86.36</v>
      </c>
      <c r="D43" s="17">
        <f>A43*Scores!E9+B43*(SUM(Scores!E6:E11)-Scores!E9)</f>
        <v>24.08</v>
      </c>
      <c r="E43" s="17">
        <f>A43*Scores!F9+B43*(SUM(Scores!F6:F11)-Scores!F9)</f>
        <v>56.967999999999996</v>
      </c>
      <c r="F43" s="7" t="str">
        <f>INDEX({"A","B","C"},MATCH(MAX(C43:E43),C43:E43,0))</f>
        <v>A</v>
      </c>
    </row>
    <row r="44" spans="1:6" x14ac:dyDescent="0.2">
      <c r="A44" s="20">
        <v>0.78</v>
      </c>
      <c r="B44" s="21">
        <f t="shared" si="1"/>
        <v>4.3999999999999997E-2</v>
      </c>
      <c r="C44" s="17">
        <f>A44*Scores!D9+B44*(SUM(Scores!D6:D11)-Scores!D9)</f>
        <v>87.080000000000013</v>
      </c>
      <c r="D44" s="17">
        <f>A44*Scores!E9+B44*(SUM(Scores!E6:E11)-Scores!E9)</f>
        <v>23.740000000000002</v>
      </c>
      <c r="E44" s="17">
        <f>A44*Scores!F9+B44*(SUM(Scores!F6:F11)-Scores!F9)</f>
        <v>56.804000000000002</v>
      </c>
      <c r="F44" s="7" t="str">
        <f>INDEX({"A","B","C"},MATCH(MAX(C44:E44),C44:E44,0))</f>
        <v>A</v>
      </c>
    </row>
    <row r="45" spans="1:6" x14ac:dyDescent="0.2">
      <c r="A45" s="20">
        <v>0.8</v>
      </c>
      <c r="B45" s="21">
        <f t="shared" si="1"/>
        <v>3.9999999999999994E-2</v>
      </c>
      <c r="C45" s="17">
        <f>A45*Scores!D9+B45*(SUM(Scores!D6:D11)-Scores!D9)</f>
        <v>87.8</v>
      </c>
      <c r="D45" s="17">
        <f>A45*Scores!E9+B45*(SUM(Scores!E6:E11)-Scores!E9)</f>
        <v>23.4</v>
      </c>
      <c r="E45" s="17">
        <f>A45*Scores!F9+B45*(SUM(Scores!F6:F11)-Scores!F9)</f>
        <v>56.64</v>
      </c>
      <c r="F45" s="7" t="str">
        <f>INDEX({"A","B","C"},MATCH(MAX(C45:E45),C45:E45,0))</f>
        <v>A</v>
      </c>
    </row>
    <row r="46" spans="1:6" x14ac:dyDescent="0.2">
      <c r="A46" s="20">
        <v>0.82</v>
      </c>
      <c r="B46" s="21">
        <f t="shared" si="1"/>
        <v>3.6000000000000011E-2</v>
      </c>
      <c r="C46" s="17">
        <f>A46*Scores!D9+B46*(SUM(Scores!D6:D11)-Scores!D9)</f>
        <v>88.52</v>
      </c>
      <c r="D46" s="17">
        <f>A46*Scores!E9+B46*(SUM(Scores!E6:E11)-Scores!E9)</f>
        <v>23.060000000000002</v>
      </c>
      <c r="E46" s="17">
        <f>A46*Scores!F9+B46*(SUM(Scores!F6:F11)-Scores!F9)</f>
        <v>56.475999999999999</v>
      </c>
      <c r="F46" s="7" t="str">
        <f>INDEX({"A","B","C"},MATCH(MAX(C46:E46),C46:E46,0))</f>
        <v>A</v>
      </c>
    </row>
    <row r="47" spans="1:6" x14ac:dyDescent="0.2">
      <c r="A47" s="20">
        <v>0.84</v>
      </c>
      <c r="B47" s="21">
        <f t="shared" si="1"/>
        <v>3.2000000000000008E-2</v>
      </c>
      <c r="C47" s="17">
        <f>A47*Scores!D9+B47*(SUM(Scores!D6:D11)-Scores!D9)</f>
        <v>89.24</v>
      </c>
      <c r="D47" s="17">
        <f>A47*Scores!E9+B47*(SUM(Scores!E6:E11)-Scores!E9)</f>
        <v>22.720000000000002</v>
      </c>
      <c r="E47" s="17">
        <f>A47*Scores!F9+B47*(SUM(Scores!F6:F11)-Scores!F9)</f>
        <v>56.311999999999998</v>
      </c>
      <c r="F47" s="7" t="str">
        <f>INDEX({"A","B","C"},MATCH(MAX(C47:E47),C47:E47,0))</f>
        <v>A</v>
      </c>
    </row>
    <row r="48" spans="1:6" x14ac:dyDescent="0.2">
      <c r="A48" s="20">
        <v>0.86</v>
      </c>
      <c r="B48" s="21">
        <f t="shared" si="1"/>
        <v>2.8000000000000004E-2</v>
      </c>
      <c r="C48" s="17">
        <f>A48*Scores!D9+B48*(SUM(Scores!D6:D11)-Scores!D9)</f>
        <v>89.960000000000008</v>
      </c>
      <c r="D48" s="17">
        <f>A48*Scores!E9+B48*(SUM(Scores!E6:E11)-Scores!E9)</f>
        <v>22.38</v>
      </c>
      <c r="E48" s="17">
        <f>A48*Scores!F9+B48*(SUM(Scores!F6:F11)-Scores!F9)</f>
        <v>56.147999999999996</v>
      </c>
      <c r="F48" s="7" t="str">
        <f>INDEX({"A","B","C"},MATCH(MAX(C48:E48),C48:E48,0))</f>
        <v>A</v>
      </c>
    </row>
    <row r="49" spans="1:6" x14ac:dyDescent="0.2">
      <c r="A49" s="20">
        <v>0.88</v>
      </c>
      <c r="B49" s="21">
        <f t="shared" si="1"/>
        <v>2.4E-2</v>
      </c>
      <c r="C49" s="17">
        <f>A49*Scores!D9+B49*(SUM(Scores!D6:D11)-Scores!D9)</f>
        <v>90.679999999999993</v>
      </c>
      <c r="D49" s="17">
        <f>A49*Scores!E9+B49*(SUM(Scores!E6:E11)-Scores!E9)</f>
        <v>22.040000000000003</v>
      </c>
      <c r="E49" s="17">
        <f>A49*Scores!F9+B49*(SUM(Scores!F6:F11)-Scores!F9)</f>
        <v>55.984000000000002</v>
      </c>
      <c r="F49" s="7" t="str">
        <f>INDEX({"A","B","C"},MATCH(MAX(C49:E49),C49:E49,0))</f>
        <v>A</v>
      </c>
    </row>
    <row r="50" spans="1:6" x14ac:dyDescent="0.2">
      <c r="A50" s="20">
        <v>0.9</v>
      </c>
      <c r="B50" s="21">
        <f t="shared" si="1"/>
        <v>1.9999999999999997E-2</v>
      </c>
      <c r="C50" s="17">
        <f>A50*Scores!D9+B50*(SUM(Scores!D6:D11)-Scores!D9)</f>
        <v>91.4</v>
      </c>
      <c r="D50" s="17">
        <f>A50*Scores!E9+B50*(SUM(Scores!E6:E11)-Scores!E9)</f>
        <v>21.7</v>
      </c>
      <c r="E50" s="17">
        <f>A50*Scores!F9+B50*(SUM(Scores!F6:F11)-Scores!F9)</f>
        <v>55.82</v>
      </c>
      <c r="F50" s="7" t="str">
        <f>INDEX({"A","B","C"},MATCH(MAX(C50:E50),C50:E50,0))</f>
        <v>A</v>
      </c>
    </row>
    <row r="51" spans="1:6" x14ac:dyDescent="0.2">
      <c r="A51" s="20">
        <v>0.92</v>
      </c>
      <c r="B51" s="21">
        <f t="shared" si="1"/>
        <v>1.5999999999999993E-2</v>
      </c>
      <c r="C51" s="17">
        <f>A51*Scores!D9+B51*(SUM(Scores!D6:D11)-Scores!D9)</f>
        <v>92.12</v>
      </c>
      <c r="D51" s="17">
        <f>A51*Scores!E9+B51*(SUM(Scores!E6:E11)-Scores!E9)</f>
        <v>21.36</v>
      </c>
      <c r="E51" s="17">
        <f>A51*Scores!F9+B51*(SUM(Scores!F6:F11)-Scores!F9)</f>
        <v>55.655999999999999</v>
      </c>
      <c r="F51" s="7" t="str">
        <f>INDEX({"A","B","C"},MATCH(MAX(C51:E51),C51:E51,0))</f>
        <v>A</v>
      </c>
    </row>
    <row r="52" spans="1:6" x14ac:dyDescent="0.2">
      <c r="A52" s="20">
        <v>0.94</v>
      </c>
      <c r="B52" s="21">
        <f t="shared" si="1"/>
        <v>1.2000000000000011E-2</v>
      </c>
      <c r="C52" s="17">
        <f>A52*Scores!D9+B52*(SUM(Scores!D6:D11)-Scores!D9)</f>
        <v>92.84</v>
      </c>
      <c r="D52" s="17">
        <f>A52*Scores!E9+B52*(SUM(Scores!E6:E11)-Scores!E9)</f>
        <v>21.02</v>
      </c>
      <c r="E52" s="17">
        <f>A52*Scores!F9+B52*(SUM(Scores!F6:F11)-Scores!F9)</f>
        <v>55.491999999999997</v>
      </c>
      <c r="F52" s="7" t="str">
        <f>INDEX({"A","B","C"},MATCH(MAX(C52:E52),C52:E52,0))</f>
        <v>A</v>
      </c>
    </row>
    <row r="53" spans="1:6" x14ac:dyDescent="0.2">
      <c r="A53" s="20">
        <v>0.96</v>
      </c>
      <c r="B53" s="21">
        <f t="shared" si="1"/>
        <v>8.0000000000000071E-3</v>
      </c>
      <c r="C53" s="17">
        <f>A53*Scores!D9+B53*(SUM(Scores!D6:D11)-Scores!D9)</f>
        <v>93.56</v>
      </c>
      <c r="D53" s="17">
        <f>A53*Scores!E9+B53*(SUM(Scores!E6:E11)-Scores!E9)</f>
        <v>20.68</v>
      </c>
      <c r="E53" s="17">
        <f>A53*Scores!F9+B53*(SUM(Scores!F6:F11)-Scores!F9)</f>
        <v>55.328000000000003</v>
      </c>
      <c r="F53" s="7" t="str">
        <f>INDEX({"A","B","C"},MATCH(MAX(C53:E53),C53:E53,0))</f>
        <v>A</v>
      </c>
    </row>
    <row r="54" spans="1:6" x14ac:dyDescent="0.2">
      <c r="A54" s="20">
        <v>0.98</v>
      </c>
      <c r="B54" s="21">
        <f t="shared" si="1"/>
        <v>4.0000000000000036E-3</v>
      </c>
      <c r="C54" s="17">
        <f>A54*Scores!D9+B54*(SUM(Scores!D6:D11)-Scores!D9)</f>
        <v>94.28</v>
      </c>
      <c r="D54" s="17">
        <f>A54*Scores!E9+B54*(SUM(Scores!E6:E11)-Scores!E9)</f>
        <v>20.340000000000003</v>
      </c>
      <c r="E54" s="17">
        <f>A54*Scores!F9+B54*(SUM(Scores!F6:F11)-Scores!F9)</f>
        <v>55.164000000000001</v>
      </c>
      <c r="F54" s="7" t="str">
        <f>INDEX({"A","B","C"},MATCH(MAX(C54:E54),C54:E54,0))</f>
        <v>A</v>
      </c>
    </row>
    <row r="55" spans="1:6" x14ac:dyDescent="0.2">
      <c r="A55" s="20">
        <v>1</v>
      </c>
      <c r="B55" s="21">
        <f t="shared" si="1"/>
        <v>0</v>
      </c>
      <c r="C55" s="17">
        <f>A55*Scores!D9+B55*(SUM(Scores!D6:D11)-Scores!D9)</f>
        <v>95</v>
      </c>
      <c r="D55" s="17">
        <f>A55*Scores!E9+B55*(SUM(Scores!E6:E11)-Scores!E9)</f>
        <v>20</v>
      </c>
      <c r="E55" s="17">
        <f>A55*Scores!F9+B55*(SUM(Scores!F6:F11)-Scores!F9)</f>
        <v>55</v>
      </c>
      <c r="F55" s="7" t="str">
        <f>INDEX({"A","B","C"},MATCH(MAX(C55:E55),C55:E55,0))</f>
        <v>A</v>
      </c>
    </row>
    <row r="57" spans="1:6" x14ac:dyDescent="0.2">
      <c r="A57" s="2" t="s">
        <v>55</v>
      </c>
      <c r="B57" s="2"/>
      <c r="C57" s="22">
        <f>IFERROR(((SUM(Scores!F6:F11)-Scores!F9)-(SUM(Scores!E6:E11)-Scores!E9))/(5*(Scores!E9-Scores!F9)+(SUM(Scores!F6:F11)-Scores!F9)-(SUM(Scores!E6:E11)-Scores!E9)),"undefined")</f>
        <v>-2.9772727272727271</v>
      </c>
    </row>
    <row r="58" spans="1:6" x14ac:dyDescent="0.2">
      <c r="A58" s="2" t="s">
        <v>56</v>
      </c>
      <c r="B58" s="2"/>
      <c r="C58" s="22">
        <f>IFERROR(((SUM(Scores!F6:F11)-Scores!F9)-(SUM(Scores!D6:D11)-Scores!D9))/(5*(Scores!D9-Scores!F9)+(SUM(Scores!F6:F11)-Scores!F9)-(SUM(Scores!D6:D11)-Scores!D9)),"undefined")</f>
        <v>9.5022624434389136E-2</v>
      </c>
    </row>
    <row r="60" spans="1:6" ht="15" customHeight="1" x14ac:dyDescent="0.2">
      <c r="A60" s="3" t="s">
        <v>57</v>
      </c>
      <c r="B60" s="3"/>
      <c r="C60" s="3"/>
      <c r="D60" s="3"/>
      <c r="E60" s="3"/>
      <c r="F60" s="3"/>
    </row>
    <row r="61" spans="1:6" x14ac:dyDescent="0.2">
      <c r="A61" s="3"/>
      <c r="B61" s="3"/>
      <c r="C61" s="3"/>
      <c r="D61" s="3"/>
      <c r="E61" s="3"/>
      <c r="F61" s="3"/>
    </row>
  </sheetData>
  <mergeCells count="5">
    <mergeCell ref="A1:F1"/>
    <mergeCell ref="A2:F3"/>
    <mergeCell ref="A57:B57"/>
    <mergeCell ref="A58:B58"/>
    <mergeCell ref="A60:F6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1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6" width="12" customWidth="1"/>
  </cols>
  <sheetData>
    <row r="1" spans="1:6" ht="18" x14ac:dyDescent="0.2">
      <c r="A1" s="4" t="s">
        <v>67</v>
      </c>
      <c r="B1" s="4"/>
      <c r="C1" s="4"/>
      <c r="D1" s="4"/>
      <c r="E1" s="4"/>
      <c r="F1" s="4"/>
    </row>
    <row r="2" spans="1:6" ht="15" customHeight="1" x14ac:dyDescent="0.2">
      <c r="A2" s="3" t="s">
        <v>68</v>
      </c>
      <c r="B2" s="3"/>
      <c r="C2" s="3"/>
      <c r="D2" s="3"/>
      <c r="E2" s="3"/>
      <c r="F2" s="3"/>
    </row>
    <row r="3" spans="1:6" x14ac:dyDescent="0.2">
      <c r="A3" s="3"/>
      <c r="B3" s="3"/>
      <c r="C3" s="3"/>
      <c r="D3" s="3"/>
      <c r="E3" s="3"/>
      <c r="F3" s="3"/>
    </row>
    <row r="4" spans="1:6" x14ac:dyDescent="0.2">
      <c r="A4" s="6" t="s">
        <v>69</v>
      </c>
      <c r="B4" s="6" t="s">
        <v>53</v>
      </c>
      <c r="C4" s="6" t="s">
        <v>6</v>
      </c>
      <c r="D4" s="6" t="s">
        <v>7</v>
      </c>
      <c r="E4" s="6" t="s">
        <v>8</v>
      </c>
      <c r="F4" s="6" t="s">
        <v>54</v>
      </c>
    </row>
    <row r="5" spans="1:6" x14ac:dyDescent="0.2">
      <c r="A5" s="20">
        <v>0</v>
      </c>
      <c r="B5" s="21">
        <f t="shared" ref="B5:B36" si="0">(1-A5)/5</f>
        <v>0.2</v>
      </c>
      <c r="C5" s="17">
        <f>A5*Scores!D10+B5*(SUM(Scores!D6:D11)-Scores!D10)</f>
        <v>59</v>
      </c>
      <c r="D5" s="17">
        <f>A5*Scores!E10+B5*(SUM(Scores!E6:E11)-Scores!E10)</f>
        <v>39</v>
      </c>
      <c r="E5" s="17">
        <f>A5*Scores!F10+B5*(SUM(Scores!F6:F11)-Scores!F10)</f>
        <v>59.2</v>
      </c>
      <c r="F5" s="7" t="str">
        <f>INDEX({"A","B","C"},MATCH(MAX(C5:E5),C5:E5,0))</f>
        <v>C</v>
      </c>
    </row>
    <row r="6" spans="1:6" x14ac:dyDescent="0.2">
      <c r="A6" s="20">
        <v>0.02</v>
      </c>
      <c r="B6" s="21">
        <f t="shared" si="0"/>
        <v>0.19600000000000001</v>
      </c>
      <c r="C6" s="17">
        <f>A6*Scores!D10+B6*(SUM(Scores!D6:D11)-Scores!D10)</f>
        <v>59.72</v>
      </c>
      <c r="D6" s="17">
        <f>A6*Scores!E10+B6*(SUM(Scores!E6:E11)-Scores!E10)</f>
        <v>38.42</v>
      </c>
      <c r="E6" s="17">
        <f>A6*Scores!F10+B6*(SUM(Scores!F6:F11)-Scores!F10)</f>
        <v>59.516000000000005</v>
      </c>
      <c r="F6" s="7" t="str">
        <f>INDEX({"A","B","C"},MATCH(MAX(C6:E6),C6:E6,0))</f>
        <v>A</v>
      </c>
    </row>
    <row r="7" spans="1:6" x14ac:dyDescent="0.2">
      <c r="A7" s="20">
        <v>0.04</v>
      </c>
      <c r="B7" s="21">
        <f t="shared" si="0"/>
        <v>0.192</v>
      </c>
      <c r="C7" s="17">
        <f>A7*Scores!D10+B7*(SUM(Scores!D6:D11)-Scores!D10)</f>
        <v>60.44</v>
      </c>
      <c r="D7" s="17">
        <f>A7*Scores!E10+B7*(SUM(Scores!E6:E11)-Scores!E10)</f>
        <v>37.839999999999996</v>
      </c>
      <c r="E7" s="17">
        <f>A7*Scores!F10+B7*(SUM(Scores!F6:F11)-Scores!F10)</f>
        <v>59.832000000000001</v>
      </c>
      <c r="F7" s="7" t="str">
        <f>INDEX({"A","B","C"},MATCH(MAX(C7:E7),C7:E7,0))</f>
        <v>A</v>
      </c>
    </row>
    <row r="8" spans="1:6" x14ac:dyDescent="0.2">
      <c r="A8" s="20">
        <v>0.06</v>
      </c>
      <c r="B8" s="21">
        <f t="shared" si="0"/>
        <v>0.188</v>
      </c>
      <c r="C8" s="17">
        <f>A8*Scores!D10+B8*(SUM(Scores!D6:D11)-Scores!D10)</f>
        <v>61.160000000000004</v>
      </c>
      <c r="D8" s="17">
        <f>A8*Scores!E10+B8*(SUM(Scores!E6:E11)-Scores!E10)</f>
        <v>37.26</v>
      </c>
      <c r="E8" s="17">
        <f>A8*Scores!F10+B8*(SUM(Scores!F6:F11)-Scores!F10)</f>
        <v>60.148000000000003</v>
      </c>
      <c r="F8" s="7" t="str">
        <f>INDEX({"A","B","C"},MATCH(MAX(C8:E8),C8:E8,0))</f>
        <v>A</v>
      </c>
    </row>
    <row r="9" spans="1:6" x14ac:dyDescent="0.2">
      <c r="A9" s="20">
        <v>0.08</v>
      </c>
      <c r="B9" s="21">
        <f t="shared" si="0"/>
        <v>0.184</v>
      </c>
      <c r="C9" s="17">
        <f>A9*Scores!D10+B9*(SUM(Scores!D6:D11)-Scores!D10)</f>
        <v>61.88</v>
      </c>
      <c r="D9" s="17">
        <f>A9*Scores!E10+B9*(SUM(Scores!E6:E11)-Scores!E10)</f>
        <v>36.68</v>
      </c>
      <c r="E9" s="17">
        <f>A9*Scores!F10+B9*(SUM(Scores!F6:F11)-Scores!F10)</f>
        <v>60.463999999999999</v>
      </c>
      <c r="F9" s="7" t="str">
        <f>INDEX({"A","B","C"},MATCH(MAX(C9:E9),C9:E9,0))</f>
        <v>A</v>
      </c>
    </row>
    <row r="10" spans="1:6" x14ac:dyDescent="0.2">
      <c r="A10" s="20">
        <v>0.1</v>
      </c>
      <c r="B10" s="21">
        <f t="shared" si="0"/>
        <v>0.18</v>
      </c>
      <c r="C10" s="17">
        <f>A10*Scores!D10+B10*(SUM(Scores!D6:D11)-Scores!D10)</f>
        <v>62.6</v>
      </c>
      <c r="D10" s="17">
        <f>A10*Scores!E10+B10*(SUM(Scores!E6:E11)-Scores!E10)</f>
        <v>36.1</v>
      </c>
      <c r="E10" s="17">
        <f>A10*Scores!F10+B10*(SUM(Scores!F6:F11)-Scores!F10)</f>
        <v>60.78</v>
      </c>
      <c r="F10" s="7" t="str">
        <f>INDEX({"A","B","C"},MATCH(MAX(C10:E10),C10:E10,0))</f>
        <v>A</v>
      </c>
    </row>
    <row r="11" spans="1:6" x14ac:dyDescent="0.2">
      <c r="A11" s="20">
        <v>0.12</v>
      </c>
      <c r="B11" s="21">
        <f t="shared" si="0"/>
        <v>0.17599999999999999</v>
      </c>
      <c r="C11" s="17">
        <f>A11*Scores!D10+B11*(SUM(Scores!D6:D11)-Scores!D10)</f>
        <v>63.319999999999993</v>
      </c>
      <c r="D11" s="17">
        <f>A11*Scores!E10+B11*(SUM(Scores!E6:E11)-Scores!E10)</f>
        <v>35.520000000000003</v>
      </c>
      <c r="E11" s="17">
        <f>A11*Scores!F10+B11*(SUM(Scores!F6:F11)-Scores!F10)</f>
        <v>61.095999999999997</v>
      </c>
      <c r="F11" s="7" t="str">
        <f>INDEX({"A","B","C"},MATCH(MAX(C11:E11),C11:E11,0))</f>
        <v>A</v>
      </c>
    </row>
    <row r="12" spans="1:6" x14ac:dyDescent="0.2">
      <c r="A12" s="20">
        <v>0.14000000000000001</v>
      </c>
      <c r="B12" s="21">
        <f t="shared" si="0"/>
        <v>0.17199999999999999</v>
      </c>
      <c r="C12" s="17">
        <f>A12*Scores!D10+B12*(SUM(Scores!D6:D11)-Scores!D10)</f>
        <v>64.039999999999992</v>
      </c>
      <c r="D12" s="17">
        <f>A12*Scores!E10+B12*(SUM(Scores!E6:E11)-Scores!E10)</f>
        <v>34.94</v>
      </c>
      <c r="E12" s="17">
        <f>A12*Scores!F10+B12*(SUM(Scores!F6:F11)-Scores!F10)</f>
        <v>61.411999999999999</v>
      </c>
      <c r="F12" s="7" t="str">
        <f>INDEX({"A","B","C"},MATCH(MAX(C12:E12),C12:E12,0))</f>
        <v>A</v>
      </c>
    </row>
    <row r="13" spans="1:6" x14ac:dyDescent="0.2">
      <c r="A13" s="20">
        <v>0.16</v>
      </c>
      <c r="B13" s="21">
        <f t="shared" si="0"/>
        <v>0.16799999999999998</v>
      </c>
      <c r="C13" s="17">
        <f>A13*Scores!D10+B13*(SUM(Scores!D6:D11)-Scores!D10)</f>
        <v>64.759999999999991</v>
      </c>
      <c r="D13" s="17">
        <f>A13*Scores!E10+B13*(SUM(Scores!E6:E11)-Scores!E10)</f>
        <v>34.36</v>
      </c>
      <c r="E13" s="17">
        <f>A13*Scores!F10+B13*(SUM(Scores!F6:F11)-Scores!F10)</f>
        <v>61.727999999999994</v>
      </c>
      <c r="F13" s="7" t="str">
        <f>INDEX({"A","B","C"},MATCH(MAX(C13:E13),C13:E13,0))</f>
        <v>A</v>
      </c>
    </row>
    <row r="14" spans="1:6" x14ac:dyDescent="0.2">
      <c r="A14" s="20">
        <v>0.18</v>
      </c>
      <c r="B14" s="21">
        <f t="shared" si="0"/>
        <v>0.16400000000000001</v>
      </c>
      <c r="C14" s="17">
        <f>A14*Scores!D10+B14*(SUM(Scores!D6:D11)-Scores!D10)</f>
        <v>65.48</v>
      </c>
      <c r="D14" s="17">
        <f>A14*Scores!E10+B14*(SUM(Scores!E6:E11)-Scores!E10)</f>
        <v>33.78</v>
      </c>
      <c r="E14" s="17">
        <f>A14*Scores!F10+B14*(SUM(Scores!F6:F11)-Scores!F10)</f>
        <v>62.044000000000004</v>
      </c>
      <c r="F14" s="7" t="str">
        <f>INDEX({"A","B","C"},MATCH(MAX(C14:E14),C14:E14,0))</f>
        <v>A</v>
      </c>
    </row>
    <row r="15" spans="1:6" x14ac:dyDescent="0.2">
      <c r="A15" s="20">
        <v>0.2</v>
      </c>
      <c r="B15" s="21">
        <f t="shared" si="0"/>
        <v>0.16</v>
      </c>
      <c r="C15" s="17">
        <f>A15*Scores!D10+B15*(SUM(Scores!D6:D11)-Scores!D10)</f>
        <v>66.2</v>
      </c>
      <c r="D15" s="17">
        <f>A15*Scores!E10+B15*(SUM(Scores!E6:E11)-Scores!E10)</f>
        <v>33.200000000000003</v>
      </c>
      <c r="E15" s="17">
        <f>A15*Scores!F10+B15*(SUM(Scores!F6:F11)-Scores!F10)</f>
        <v>62.36</v>
      </c>
      <c r="F15" s="7" t="str">
        <f>INDEX({"A","B","C"},MATCH(MAX(C15:E15),C15:E15,0))</f>
        <v>A</v>
      </c>
    </row>
    <row r="16" spans="1:6" x14ac:dyDescent="0.2">
      <c r="A16" s="20">
        <v>0.22</v>
      </c>
      <c r="B16" s="21">
        <f t="shared" si="0"/>
        <v>0.156</v>
      </c>
      <c r="C16" s="17">
        <f>A16*Scores!D10+B16*(SUM(Scores!D6:D11)-Scores!D10)</f>
        <v>66.92</v>
      </c>
      <c r="D16" s="17">
        <f>A16*Scores!E10+B16*(SUM(Scores!E6:E11)-Scores!E10)</f>
        <v>32.620000000000005</v>
      </c>
      <c r="E16" s="17">
        <f>A16*Scores!F10+B16*(SUM(Scores!F6:F11)-Scores!F10)</f>
        <v>62.676000000000002</v>
      </c>
      <c r="F16" s="7" t="str">
        <f>INDEX({"A","B","C"},MATCH(MAX(C16:E16),C16:E16,0))</f>
        <v>A</v>
      </c>
    </row>
    <row r="17" spans="1:6" x14ac:dyDescent="0.2">
      <c r="A17" s="20">
        <v>0.24</v>
      </c>
      <c r="B17" s="21">
        <f t="shared" si="0"/>
        <v>0.152</v>
      </c>
      <c r="C17" s="17">
        <f>A17*Scores!D10+B17*(SUM(Scores!D6:D11)-Scores!D10)</f>
        <v>67.64</v>
      </c>
      <c r="D17" s="17">
        <f>A17*Scores!E10+B17*(SUM(Scores!E6:E11)-Scores!E10)</f>
        <v>32.04</v>
      </c>
      <c r="E17" s="17">
        <f>A17*Scores!F10+B17*(SUM(Scores!F6:F11)-Scores!F10)</f>
        <v>62.991999999999997</v>
      </c>
      <c r="F17" s="7" t="str">
        <f>INDEX({"A","B","C"},MATCH(MAX(C17:E17),C17:E17,0))</f>
        <v>A</v>
      </c>
    </row>
    <row r="18" spans="1:6" x14ac:dyDescent="0.2">
      <c r="A18" s="20">
        <v>0.26</v>
      </c>
      <c r="B18" s="21">
        <f t="shared" si="0"/>
        <v>0.14799999999999999</v>
      </c>
      <c r="C18" s="17">
        <f>A18*Scores!D10+B18*(SUM(Scores!D6:D11)-Scores!D10)</f>
        <v>68.36</v>
      </c>
      <c r="D18" s="17">
        <f>A18*Scores!E10+B18*(SUM(Scores!E6:E11)-Scores!E10)</f>
        <v>31.46</v>
      </c>
      <c r="E18" s="17">
        <f>A18*Scores!F10+B18*(SUM(Scores!F6:F11)-Scores!F10)</f>
        <v>63.308</v>
      </c>
      <c r="F18" s="7" t="str">
        <f>INDEX({"A","B","C"},MATCH(MAX(C18:E18),C18:E18,0))</f>
        <v>A</v>
      </c>
    </row>
    <row r="19" spans="1:6" x14ac:dyDescent="0.2">
      <c r="A19" s="20">
        <v>0.28000000000000003</v>
      </c>
      <c r="B19" s="21">
        <f t="shared" si="0"/>
        <v>0.14399999999999999</v>
      </c>
      <c r="C19" s="17">
        <f>A19*Scores!D10+B19*(SUM(Scores!D6:D11)-Scores!D10)</f>
        <v>69.08</v>
      </c>
      <c r="D19" s="17">
        <f>A19*Scores!E10+B19*(SUM(Scores!E6:E11)-Scores!E10)</f>
        <v>30.88</v>
      </c>
      <c r="E19" s="17">
        <f>A19*Scores!F10+B19*(SUM(Scores!F6:F11)-Scores!F10)</f>
        <v>63.623999999999995</v>
      </c>
      <c r="F19" s="7" t="str">
        <f>INDEX({"A","B","C"},MATCH(MAX(C19:E19),C19:E19,0))</f>
        <v>A</v>
      </c>
    </row>
    <row r="20" spans="1:6" x14ac:dyDescent="0.2">
      <c r="A20" s="20">
        <v>0.3</v>
      </c>
      <c r="B20" s="21">
        <f t="shared" si="0"/>
        <v>0.13999999999999999</v>
      </c>
      <c r="C20" s="17">
        <f>A20*Scores!D10+B20*(SUM(Scores!D6:D11)-Scores!D10)</f>
        <v>69.8</v>
      </c>
      <c r="D20" s="17">
        <f>A20*Scores!E10+B20*(SUM(Scores!E6:E11)-Scores!E10)</f>
        <v>30.299999999999997</v>
      </c>
      <c r="E20" s="17">
        <f>A20*Scores!F10+B20*(SUM(Scores!F6:F11)-Scores!F10)</f>
        <v>63.94</v>
      </c>
      <c r="F20" s="7" t="str">
        <f>INDEX({"A","B","C"},MATCH(MAX(C20:E20),C20:E20,0))</f>
        <v>A</v>
      </c>
    </row>
    <row r="21" spans="1:6" x14ac:dyDescent="0.2">
      <c r="A21" s="20">
        <v>0.32</v>
      </c>
      <c r="B21" s="21">
        <f t="shared" si="0"/>
        <v>0.13599999999999998</v>
      </c>
      <c r="C21" s="17">
        <f>A21*Scores!D10+B21*(SUM(Scores!D6:D11)-Scores!D10)</f>
        <v>70.52</v>
      </c>
      <c r="D21" s="17">
        <f>A21*Scores!E10+B21*(SUM(Scores!E6:E11)-Scores!E10)</f>
        <v>29.719999999999995</v>
      </c>
      <c r="E21" s="17">
        <f>A21*Scores!F10+B21*(SUM(Scores!F6:F11)-Scores!F10)</f>
        <v>64.256</v>
      </c>
      <c r="F21" s="7" t="str">
        <f>INDEX({"A","B","C"},MATCH(MAX(C21:E21),C21:E21,0))</f>
        <v>A</v>
      </c>
    </row>
    <row r="22" spans="1:6" x14ac:dyDescent="0.2">
      <c r="A22" s="20">
        <v>0.34</v>
      </c>
      <c r="B22" s="21">
        <f t="shared" si="0"/>
        <v>0.13199999999999998</v>
      </c>
      <c r="C22" s="17">
        <f>A22*Scores!D10+B22*(SUM(Scores!D6:D11)-Scores!D10)</f>
        <v>71.239999999999995</v>
      </c>
      <c r="D22" s="17">
        <f>A22*Scores!E10+B22*(SUM(Scores!E6:E11)-Scores!E10)</f>
        <v>29.139999999999993</v>
      </c>
      <c r="E22" s="17">
        <f>A22*Scores!F10+B22*(SUM(Scores!F6:F11)-Scores!F10)</f>
        <v>64.572000000000003</v>
      </c>
      <c r="F22" s="7" t="str">
        <f>INDEX({"A","B","C"},MATCH(MAX(C22:E22),C22:E22,0))</f>
        <v>A</v>
      </c>
    </row>
    <row r="23" spans="1:6" x14ac:dyDescent="0.2">
      <c r="A23" s="20">
        <v>0.36</v>
      </c>
      <c r="B23" s="21">
        <f t="shared" si="0"/>
        <v>0.128</v>
      </c>
      <c r="C23" s="17">
        <f>A23*Scores!D10+B23*(SUM(Scores!D6:D11)-Scores!D10)</f>
        <v>71.959999999999994</v>
      </c>
      <c r="D23" s="17">
        <f>A23*Scores!E10+B23*(SUM(Scores!E6:E11)-Scores!E10)</f>
        <v>28.560000000000002</v>
      </c>
      <c r="E23" s="17">
        <f>A23*Scores!F10+B23*(SUM(Scores!F6:F11)-Scores!F10)</f>
        <v>64.888000000000005</v>
      </c>
      <c r="F23" s="7" t="str">
        <f>INDEX({"A","B","C"},MATCH(MAX(C23:E23),C23:E23,0))</f>
        <v>A</v>
      </c>
    </row>
    <row r="24" spans="1:6" x14ac:dyDescent="0.2">
      <c r="A24" s="20">
        <v>0.38</v>
      </c>
      <c r="B24" s="21">
        <f t="shared" si="0"/>
        <v>0.124</v>
      </c>
      <c r="C24" s="17">
        <f>A24*Scores!D10+B24*(SUM(Scores!D6:D11)-Scores!D10)</f>
        <v>72.680000000000007</v>
      </c>
      <c r="D24" s="17">
        <f>A24*Scores!E10+B24*(SUM(Scores!E6:E11)-Scores!E10)</f>
        <v>27.98</v>
      </c>
      <c r="E24" s="17">
        <f>A24*Scores!F10+B24*(SUM(Scores!F6:F11)-Scores!F10)</f>
        <v>65.204000000000008</v>
      </c>
      <c r="F24" s="7" t="str">
        <f>INDEX({"A","B","C"},MATCH(MAX(C24:E24),C24:E24,0))</f>
        <v>A</v>
      </c>
    </row>
    <row r="25" spans="1:6" x14ac:dyDescent="0.2">
      <c r="A25" s="20">
        <v>0.4</v>
      </c>
      <c r="B25" s="21">
        <f t="shared" si="0"/>
        <v>0.12</v>
      </c>
      <c r="C25" s="17">
        <f>A25*Scores!D10+B25*(SUM(Scores!D6:D11)-Scores!D10)</f>
        <v>73.400000000000006</v>
      </c>
      <c r="D25" s="17">
        <f>A25*Scores!E10+B25*(SUM(Scores!E6:E11)-Scores!E10)</f>
        <v>27.4</v>
      </c>
      <c r="E25" s="17">
        <f>A25*Scores!F10+B25*(SUM(Scores!F6:F11)-Scores!F10)</f>
        <v>65.52</v>
      </c>
      <c r="F25" s="7" t="str">
        <f>INDEX({"A","B","C"},MATCH(MAX(C25:E25),C25:E25,0))</f>
        <v>A</v>
      </c>
    </row>
    <row r="26" spans="1:6" x14ac:dyDescent="0.2">
      <c r="A26" s="20">
        <v>0.42</v>
      </c>
      <c r="B26" s="21">
        <f t="shared" si="0"/>
        <v>0.11600000000000002</v>
      </c>
      <c r="C26" s="17">
        <f>A26*Scores!D10+B26*(SUM(Scores!D6:D11)-Scores!D10)</f>
        <v>74.12</v>
      </c>
      <c r="D26" s="17">
        <f>A26*Scores!E10+B26*(SUM(Scores!E6:E11)-Scores!E10)</f>
        <v>26.820000000000004</v>
      </c>
      <c r="E26" s="17">
        <f>A26*Scores!F10+B26*(SUM(Scores!F6:F11)-Scores!F10)</f>
        <v>65.836000000000013</v>
      </c>
      <c r="F26" s="7" t="str">
        <f>INDEX({"A","B","C"},MATCH(MAX(C26:E26),C26:E26,0))</f>
        <v>A</v>
      </c>
    </row>
    <row r="27" spans="1:6" x14ac:dyDescent="0.2">
      <c r="A27" s="20">
        <v>0.44</v>
      </c>
      <c r="B27" s="21">
        <f t="shared" si="0"/>
        <v>0.11200000000000002</v>
      </c>
      <c r="C27" s="17">
        <f>A27*Scores!D10+B27*(SUM(Scores!D6:D11)-Scores!D10)</f>
        <v>74.84</v>
      </c>
      <c r="D27" s="17">
        <f>A27*Scores!E10+B27*(SUM(Scores!E6:E11)-Scores!E10)</f>
        <v>26.240000000000002</v>
      </c>
      <c r="E27" s="17">
        <f>A27*Scores!F10+B27*(SUM(Scores!F6:F11)-Scores!F10)</f>
        <v>66.152000000000015</v>
      </c>
      <c r="F27" s="7" t="str">
        <f>INDEX({"A","B","C"},MATCH(MAX(C27:E27),C27:E27,0))</f>
        <v>A</v>
      </c>
    </row>
    <row r="28" spans="1:6" x14ac:dyDescent="0.2">
      <c r="A28" s="20">
        <v>0.46</v>
      </c>
      <c r="B28" s="21">
        <f t="shared" si="0"/>
        <v>0.10800000000000001</v>
      </c>
      <c r="C28" s="17">
        <f>A28*Scores!D10+B28*(SUM(Scores!D6:D11)-Scores!D10)</f>
        <v>75.56</v>
      </c>
      <c r="D28" s="17">
        <f>A28*Scores!E10+B28*(SUM(Scores!E6:E11)-Scores!E10)</f>
        <v>25.660000000000004</v>
      </c>
      <c r="E28" s="17">
        <f>A28*Scores!F10+B28*(SUM(Scores!F6:F11)-Scores!F10)</f>
        <v>66.468000000000004</v>
      </c>
      <c r="F28" s="7" t="str">
        <f>INDEX({"A","B","C"},MATCH(MAX(C28:E28),C28:E28,0))</f>
        <v>A</v>
      </c>
    </row>
    <row r="29" spans="1:6" x14ac:dyDescent="0.2">
      <c r="A29" s="20">
        <v>0.48</v>
      </c>
      <c r="B29" s="21">
        <f t="shared" si="0"/>
        <v>0.10400000000000001</v>
      </c>
      <c r="C29" s="17">
        <f>A29*Scores!D10+B29*(SUM(Scores!D6:D11)-Scores!D10)</f>
        <v>76.28</v>
      </c>
      <c r="D29" s="17">
        <f>A29*Scores!E10+B29*(SUM(Scores!E6:E11)-Scores!E10)</f>
        <v>25.080000000000002</v>
      </c>
      <c r="E29" s="17">
        <f>A29*Scores!F10+B29*(SUM(Scores!F6:F11)-Scores!F10)</f>
        <v>66.784000000000006</v>
      </c>
      <c r="F29" s="7" t="str">
        <f>INDEX({"A","B","C"},MATCH(MAX(C29:E29),C29:E29,0))</f>
        <v>A</v>
      </c>
    </row>
    <row r="30" spans="1:6" x14ac:dyDescent="0.2">
      <c r="A30" s="20">
        <v>0.5</v>
      </c>
      <c r="B30" s="21">
        <f t="shared" si="0"/>
        <v>0.1</v>
      </c>
      <c r="C30" s="17">
        <f>A30*Scores!D10+B30*(SUM(Scores!D6:D11)-Scores!D10)</f>
        <v>77</v>
      </c>
      <c r="D30" s="17">
        <f>A30*Scores!E10+B30*(SUM(Scores!E6:E11)-Scores!E10)</f>
        <v>24.5</v>
      </c>
      <c r="E30" s="17">
        <f>A30*Scores!F10+B30*(SUM(Scores!F6:F11)-Scores!F10)</f>
        <v>67.099999999999994</v>
      </c>
      <c r="F30" s="7" t="str">
        <f>INDEX({"A","B","C"},MATCH(MAX(C30:E30),C30:E30,0))</f>
        <v>A</v>
      </c>
    </row>
    <row r="31" spans="1:6" x14ac:dyDescent="0.2">
      <c r="A31" s="20">
        <v>0.52</v>
      </c>
      <c r="B31" s="21">
        <f t="shared" si="0"/>
        <v>9.6000000000000002E-2</v>
      </c>
      <c r="C31" s="17">
        <f>A31*Scores!D10+B31*(SUM(Scores!D6:D11)-Scores!D10)</f>
        <v>77.72</v>
      </c>
      <c r="D31" s="17">
        <f>A31*Scores!E10+B31*(SUM(Scores!E6:E11)-Scores!E10)</f>
        <v>23.919999999999998</v>
      </c>
      <c r="E31" s="17">
        <f>A31*Scores!F10+B31*(SUM(Scores!F6:F11)-Scores!F10)</f>
        <v>67.415999999999997</v>
      </c>
      <c r="F31" s="7" t="str">
        <f>INDEX({"A","B","C"},MATCH(MAX(C31:E31),C31:E31,0))</f>
        <v>A</v>
      </c>
    </row>
    <row r="32" spans="1:6" x14ac:dyDescent="0.2">
      <c r="A32" s="20">
        <v>0.54</v>
      </c>
      <c r="B32" s="21">
        <f t="shared" si="0"/>
        <v>9.1999999999999998E-2</v>
      </c>
      <c r="C32" s="17">
        <f>A32*Scores!D10+B32*(SUM(Scores!D6:D11)-Scores!D10)</f>
        <v>78.44</v>
      </c>
      <c r="D32" s="17">
        <f>A32*Scores!E10+B32*(SUM(Scores!E6:E11)-Scores!E10)</f>
        <v>23.340000000000003</v>
      </c>
      <c r="E32" s="17">
        <f>A32*Scores!F10+B32*(SUM(Scores!F6:F11)-Scores!F10)</f>
        <v>67.731999999999999</v>
      </c>
      <c r="F32" s="7" t="str">
        <f>INDEX({"A","B","C"},MATCH(MAX(C32:E32),C32:E32,0))</f>
        <v>A</v>
      </c>
    </row>
    <row r="33" spans="1:6" x14ac:dyDescent="0.2">
      <c r="A33" s="20">
        <v>0.56000000000000005</v>
      </c>
      <c r="B33" s="21">
        <f t="shared" si="0"/>
        <v>8.7999999999999995E-2</v>
      </c>
      <c r="C33" s="17">
        <f>A33*Scores!D10+B33*(SUM(Scores!D6:D11)-Scores!D10)</f>
        <v>79.16</v>
      </c>
      <c r="D33" s="17">
        <f>A33*Scores!E10+B33*(SUM(Scores!E6:E11)-Scores!E10)</f>
        <v>22.76</v>
      </c>
      <c r="E33" s="17">
        <f>A33*Scores!F10+B33*(SUM(Scores!F6:F11)-Scores!F10)</f>
        <v>68.048000000000002</v>
      </c>
      <c r="F33" s="7" t="str">
        <f>INDEX({"A","B","C"},MATCH(MAX(C33:E33),C33:E33,0))</f>
        <v>A</v>
      </c>
    </row>
    <row r="34" spans="1:6" x14ac:dyDescent="0.2">
      <c r="A34" s="20">
        <v>0.57999999999999996</v>
      </c>
      <c r="B34" s="21">
        <f t="shared" si="0"/>
        <v>8.4000000000000005E-2</v>
      </c>
      <c r="C34" s="17">
        <f>A34*Scores!D10+B34*(SUM(Scores!D6:D11)-Scores!D10)</f>
        <v>79.88</v>
      </c>
      <c r="D34" s="17">
        <f>A34*Scores!E10+B34*(SUM(Scores!E6:E11)-Scores!E10)</f>
        <v>22.180000000000003</v>
      </c>
      <c r="E34" s="17">
        <f>A34*Scores!F10+B34*(SUM(Scores!F6:F11)-Scores!F10)</f>
        <v>68.364000000000004</v>
      </c>
      <c r="F34" s="7" t="str">
        <f>INDEX({"A","B","C"},MATCH(MAX(C34:E34),C34:E34,0))</f>
        <v>A</v>
      </c>
    </row>
    <row r="35" spans="1:6" x14ac:dyDescent="0.2">
      <c r="A35" s="20">
        <v>0.6</v>
      </c>
      <c r="B35" s="21">
        <f t="shared" si="0"/>
        <v>0.08</v>
      </c>
      <c r="C35" s="17">
        <f>A35*Scores!D10+B35*(SUM(Scores!D6:D11)-Scores!D10)</f>
        <v>80.599999999999994</v>
      </c>
      <c r="D35" s="17">
        <f>A35*Scores!E10+B35*(SUM(Scores!E6:E11)-Scores!E10)</f>
        <v>21.6</v>
      </c>
      <c r="E35" s="17">
        <f>A35*Scores!F10+B35*(SUM(Scores!F6:F11)-Scores!F10)</f>
        <v>68.680000000000007</v>
      </c>
      <c r="F35" s="7" t="str">
        <f>INDEX({"A","B","C"},MATCH(MAX(C35:E35),C35:E35,0))</f>
        <v>A</v>
      </c>
    </row>
    <row r="36" spans="1:6" x14ac:dyDescent="0.2">
      <c r="A36" s="20">
        <v>0.62</v>
      </c>
      <c r="B36" s="21">
        <f t="shared" si="0"/>
        <v>7.5999999999999998E-2</v>
      </c>
      <c r="C36" s="17">
        <f>A36*Scores!D10+B36*(SUM(Scores!D6:D11)-Scores!D10)</f>
        <v>81.319999999999993</v>
      </c>
      <c r="D36" s="17">
        <f>A36*Scores!E10+B36*(SUM(Scores!E6:E11)-Scores!E10)</f>
        <v>21.02</v>
      </c>
      <c r="E36" s="17">
        <f>A36*Scores!F10+B36*(SUM(Scores!F6:F11)-Scores!F10)</f>
        <v>68.995999999999995</v>
      </c>
      <c r="F36" s="7" t="str">
        <f>INDEX({"A","B","C"},MATCH(MAX(C36:E36),C36:E36,0))</f>
        <v>A</v>
      </c>
    </row>
    <row r="37" spans="1:6" x14ac:dyDescent="0.2">
      <c r="A37" s="20">
        <v>0.64</v>
      </c>
      <c r="B37" s="21">
        <f t="shared" ref="B37:B68" si="1">(1-A37)/5</f>
        <v>7.1999999999999995E-2</v>
      </c>
      <c r="C37" s="17">
        <f>A37*Scores!D10+B37*(SUM(Scores!D6:D11)-Scores!D10)</f>
        <v>82.04</v>
      </c>
      <c r="D37" s="17">
        <f>A37*Scores!E10+B37*(SUM(Scores!E6:E11)-Scores!E10)</f>
        <v>20.439999999999998</v>
      </c>
      <c r="E37" s="17">
        <f>A37*Scores!F10+B37*(SUM(Scores!F6:F11)-Scores!F10)</f>
        <v>69.311999999999998</v>
      </c>
      <c r="F37" s="7" t="str">
        <f>INDEX({"A","B","C"},MATCH(MAX(C37:E37),C37:E37,0))</f>
        <v>A</v>
      </c>
    </row>
    <row r="38" spans="1:6" x14ac:dyDescent="0.2">
      <c r="A38" s="20">
        <v>0.66</v>
      </c>
      <c r="B38" s="21">
        <f t="shared" si="1"/>
        <v>6.7999999999999991E-2</v>
      </c>
      <c r="C38" s="17">
        <f>A38*Scores!D10+B38*(SUM(Scores!D6:D11)-Scores!D10)</f>
        <v>82.76</v>
      </c>
      <c r="D38" s="17">
        <f>A38*Scores!E10+B38*(SUM(Scores!E6:E11)-Scores!E10)</f>
        <v>19.86</v>
      </c>
      <c r="E38" s="17">
        <f>A38*Scores!F10+B38*(SUM(Scores!F6:F11)-Scores!F10)</f>
        <v>69.628</v>
      </c>
      <c r="F38" s="7" t="str">
        <f>INDEX({"A","B","C"},MATCH(MAX(C38:E38),C38:E38,0))</f>
        <v>A</v>
      </c>
    </row>
    <row r="39" spans="1:6" x14ac:dyDescent="0.2">
      <c r="A39" s="20">
        <v>0.68</v>
      </c>
      <c r="B39" s="21">
        <f t="shared" si="1"/>
        <v>6.3999999999999987E-2</v>
      </c>
      <c r="C39" s="17">
        <f>A39*Scores!D10+B39*(SUM(Scores!D6:D11)-Scores!D10)</f>
        <v>83.48</v>
      </c>
      <c r="D39" s="17">
        <f>A39*Scores!E10+B39*(SUM(Scores!E6:E11)-Scores!E10)</f>
        <v>19.279999999999998</v>
      </c>
      <c r="E39" s="17">
        <f>A39*Scores!F10+B39*(SUM(Scores!F6:F11)-Scores!F10)</f>
        <v>69.944000000000003</v>
      </c>
      <c r="F39" s="7" t="str">
        <f>INDEX({"A","B","C"},MATCH(MAX(C39:E39),C39:E39,0))</f>
        <v>A</v>
      </c>
    </row>
    <row r="40" spans="1:6" x14ac:dyDescent="0.2">
      <c r="A40" s="20">
        <v>0.7</v>
      </c>
      <c r="B40" s="21">
        <f t="shared" si="1"/>
        <v>6.0000000000000012E-2</v>
      </c>
      <c r="C40" s="17">
        <f>A40*Scores!D10+B40*(SUM(Scores!D6:D11)-Scores!D10)</f>
        <v>84.2</v>
      </c>
      <c r="D40" s="17">
        <f>A40*Scores!E10+B40*(SUM(Scores!E6:E11)-Scores!E10)</f>
        <v>18.700000000000003</v>
      </c>
      <c r="E40" s="17">
        <f>A40*Scores!F10+B40*(SUM(Scores!F6:F11)-Scores!F10)</f>
        <v>70.260000000000005</v>
      </c>
      <c r="F40" s="7" t="str">
        <f>INDEX({"A","B","C"},MATCH(MAX(C40:E40),C40:E40,0))</f>
        <v>A</v>
      </c>
    </row>
    <row r="41" spans="1:6" x14ac:dyDescent="0.2">
      <c r="A41" s="20">
        <v>0.72</v>
      </c>
      <c r="B41" s="21">
        <f t="shared" si="1"/>
        <v>5.6000000000000008E-2</v>
      </c>
      <c r="C41" s="17">
        <f>A41*Scores!D10+B41*(SUM(Scores!D6:D11)-Scores!D10)</f>
        <v>84.919999999999987</v>
      </c>
      <c r="D41" s="17">
        <f>A41*Scores!E10+B41*(SUM(Scores!E6:E11)-Scores!E10)</f>
        <v>18.12</v>
      </c>
      <c r="E41" s="17">
        <f>A41*Scores!F10+B41*(SUM(Scores!F6:F11)-Scores!F10)</f>
        <v>70.576000000000008</v>
      </c>
      <c r="F41" s="7" t="str">
        <f>INDEX({"A","B","C"},MATCH(MAX(C41:E41),C41:E41,0))</f>
        <v>A</v>
      </c>
    </row>
    <row r="42" spans="1:6" x14ac:dyDescent="0.2">
      <c r="A42" s="20">
        <v>0.74</v>
      </c>
      <c r="B42" s="21">
        <f t="shared" si="1"/>
        <v>5.2000000000000005E-2</v>
      </c>
      <c r="C42" s="17">
        <f>A42*Scores!D10+B42*(SUM(Scores!D6:D11)-Scores!D10)</f>
        <v>85.64</v>
      </c>
      <c r="D42" s="17">
        <f>A42*Scores!E10+B42*(SUM(Scores!E6:E11)-Scores!E10)</f>
        <v>17.54</v>
      </c>
      <c r="E42" s="17">
        <f>A42*Scores!F10+B42*(SUM(Scores!F6:F11)-Scores!F10)</f>
        <v>70.891999999999996</v>
      </c>
      <c r="F42" s="7" t="str">
        <f>INDEX({"A","B","C"},MATCH(MAX(C42:E42),C42:E42,0))</f>
        <v>A</v>
      </c>
    </row>
    <row r="43" spans="1:6" x14ac:dyDescent="0.2">
      <c r="A43" s="20">
        <v>0.76</v>
      </c>
      <c r="B43" s="21">
        <f t="shared" si="1"/>
        <v>4.8000000000000001E-2</v>
      </c>
      <c r="C43" s="17">
        <f>A43*Scores!D10+B43*(SUM(Scores!D6:D11)-Scores!D10)</f>
        <v>86.36</v>
      </c>
      <c r="D43" s="17">
        <f>A43*Scores!E10+B43*(SUM(Scores!E6:E11)-Scores!E10)</f>
        <v>16.96</v>
      </c>
      <c r="E43" s="17">
        <f>A43*Scores!F10+B43*(SUM(Scores!F6:F11)-Scores!F10)</f>
        <v>71.207999999999998</v>
      </c>
      <c r="F43" s="7" t="str">
        <f>INDEX({"A","B","C"},MATCH(MAX(C43:E43),C43:E43,0))</f>
        <v>A</v>
      </c>
    </row>
    <row r="44" spans="1:6" x14ac:dyDescent="0.2">
      <c r="A44" s="20">
        <v>0.78</v>
      </c>
      <c r="B44" s="21">
        <f t="shared" si="1"/>
        <v>4.3999999999999997E-2</v>
      </c>
      <c r="C44" s="17">
        <f>A44*Scores!D10+B44*(SUM(Scores!D6:D11)-Scores!D10)</f>
        <v>87.080000000000013</v>
      </c>
      <c r="D44" s="17">
        <f>A44*Scores!E10+B44*(SUM(Scores!E6:E11)-Scores!E10)</f>
        <v>16.380000000000003</v>
      </c>
      <c r="E44" s="17">
        <f>A44*Scores!F10+B44*(SUM(Scores!F6:F11)-Scores!F10)</f>
        <v>71.524000000000001</v>
      </c>
      <c r="F44" s="7" t="str">
        <f>INDEX({"A","B","C"},MATCH(MAX(C44:E44),C44:E44,0))</f>
        <v>A</v>
      </c>
    </row>
    <row r="45" spans="1:6" x14ac:dyDescent="0.2">
      <c r="A45" s="20">
        <v>0.8</v>
      </c>
      <c r="B45" s="21">
        <f t="shared" si="1"/>
        <v>3.9999999999999994E-2</v>
      </c>
      <c r="C45" s="17">
        <f>A45*Scores!D10+B45*(SUM(Scores!D6:D11)-Scores!D10)</f>
        <v>87.8</v>
      </c>
      <c r="D45" s="17">
        <f>A45*Scores!E10+B45*(SUM(Scores!E6:E11)-Scores!E10)</f>
        <v>15.799999999999999</v>
      </c>
      <c r="E45" s="17">
        <f>A45*Scores!F10+B45*(SUM(Scores!F6:F11)-Scores!F10)</f>
        <v>71.84</v>
      </c>
      <c r="F45" s="7" t="str">
        <f>INDEX({"A","B","C"},MATCH(MAX(C45:E45),C45:E45,0))</f>
        <v>A</v>
      </c>
    </row>
    <row r="46" spans="1:6" x14ac:dyDescent="0.2">
      <c r="A46" s="20">
        <v>0.82</v>
      </c>
      <c r="B46" s="21">
        <f t="shared" si="1"/>
        <v>3.6000000000000011E-2</v>
      </c>
      <c r="C46" s="17">
        <f>A46*Scores!D10+B46*(SUM(Scores!D6:D11)-Scores!D10)</f>
        <v>88.52</v>
      </c>
      <c r="D46" s="17">
        <f>A46*Scores!E10+B46*(SUM(Scores!E6:E11)-Scores!E10)</f>
        <v>15.220000000000002</v>
      </c>
      <c r="E46" s="17">
        <f>A46*Scores!F10+B46*(SUM(Scores!F6:F11)-Scores!F10)</f>
        <v>72.155999999999992</v>
      </c>
      <c r="F46" s="7" t="str">
        <f>INDEX({"A","B","C"},MATCH(MAX(C46:E46),C46:E46,0))</f>
        <v>A</v>
      </c>
    </row>
    <row r="47" spans="1:6" x14ac:dyDescent="0.2">
      <c r="A47" s="20">
        <v>0.84</v>
      </c>
      <c r="B47" s="21">
        <f t="shared" si="1"/>
        <v>3.2000000000000008E-2</v>
      </c>
      <c r="C47" s="17">
        <f>A47*Scores!D10+B47*(SUM(Scores!D6:D11)-Scores!D10)</f>
        <v>89.24</v>
      </c>
      <c r="D47" s="17">
        <f>A47*Scores!E10+B47*(SUM(Scores!E6:E11)-Scores!E10)</f>
        <v>14.64</v>
      </c>
      <c r="E47" s="17">
        <f>A47*Scores!F10+B47*(SUM(Scores!F6:F11)-Scores!F10)</f>
        <v>72.472000000000008</v>
      </c>
      <c r="F47" s="7" t="str">
        <f>INDEX({"A","B","C"},MATCH(MAX(C47:E47),C47:E47,0))</f>
        <v>A</v>
      </c>
    </row>
    <row r="48" spans="1:6" x14ac:dyDescent="0.2">
      <c r="A48" s="20">
        <v>0.86</v>
      </c>
      <c r="B48" s="21">
        <f t="shared" si="1"/>
        <v>2.8000000000000004E-2</v>
      </c>
      <c r="C48" s="17">
        <f>A48*Scores!D10+B48*(SUM(Scores!D6:D11)-Scores!D10)</f>
        <v>89.960000000000008</v>
      </c>
      <c r="D48" s="17">
        <f>A48*Scores!E10+B48*(SUM(Scores!E6:E11)-Scores!E10)</f>
        <v>14.06</v>
      </c>
      <c r="E48" s="17">
        <f>A48*Scores!F10+B48*(SUM(Scores!F6:F11)-Scores!F10)</f>
        <v>72.787999999999997</v>
      </c>
      <c r="F48" s="7" t="str">
        <f>INDEX({"A","B","C"},MATCH(MAX(C48:E48),C48:E48,0))</f>
        <v>A</v>
      </c>
    </row>
    <row r="49" spans="1:6" x14ac:dyDescent="0.2">
      <c r="A49" s="20">
        <v>0.88</v>
      </c>
      <c r="B49" s="21">
        <f t="shared" si="1"/>
        <v>2.4E-2</v>
      </c>
      <c r="C49" s="17">
        <f>A49*Scores!D10+B49*(SUM(Scores!D6:D11)-Scores!D10)</f>
        <v>90.679999999999993</v>
      </c>
      <c r="D49" s="17">
        <f>A49*Scores!E10+B49*(SUM(Scores!E6:E11)-Scores!E10)</f>
        <v>13.48</v>
      </c>
      <c r="E49" s="17">
        <f>A49*Scores!F10+B49*(SUM(Scores!F6:F11)-Scores!F10)</f>
        <v>73.103999999999999</v>
      </c>
      <c r="F49" s="7" t="str">
        <f>INDEX({"A","B","C"},MATCH(MAX(C49:E49),C49:E49,0))</f>
        <v>A</v>
      </c>
    </row>
    <row r="50" spans="1:6" x14ac:dyDescent="0.2">
      <c r="A50" s="20">
        <v>0.9</v>
      </c>
      <c r="B50" s="21">
        <f t="shared" si="1"/>
        <v>1.9999999999999997E-2</v>
      </c>
      <c r="C50" s="17">
        <f>A50*Scores!D10+B50*(SUM(Scores!D6:D11)-Scores!D10)</f>
        <v>91.4</v>
      </c>
      <c r="D50" s="17">
        <f>A50*Scores!E10+B50*(SUM(Scores!E6:E11)-Scores!E10)</f>
        <v>12.899999999999999</v>
      </c>
      <c r="E50" s="17">
        <f>A50*Scores!F10+B50*(SUM(Scores!F6:F11)-Scores!F10)</f>
        <v>73.42</v>
      </c>
      <c r="F50" s="7" t="str">
        <f>INDEX({"A","B","C"},MATCH(MAX(C50:E50),C50:E50,0))</f>
        <v>A</v>
      </c>
    </row>
    <row r="51" spans="1:6" x14ac:dyDescent="0.2">
      <c r="A51" s="20">
        <v>0.92</v>
      </c>
      <c r="B51" s="21">
        <f t="shared" si="1"/>
        <v>1.5999999999999993E-2</v>
      </c>
      <c r="C51" s="17">
        <f>A51*Scores!D10+B51*(SUM(Scores!D6:D11)-Scores!D10)</f>
        <v>92.12</v>
      </c>
      <c r="D51" s="17">
        <f>A51*Scores!E10+B51*(SUM(Scores!E6:E11)-Scores!E10)</f>
        <v>12.32</v>
      </c>
      <c r="E51" s="17">
        <f>A51*Scores!F10+B51*(SUM(Scores!F6:F11)-Scores!F10)</f>
        <v>73.736000000000004</v>
      </c>
      <c r="F51" s="7" t="str">
        <f>INDEX({"A","B","C"},MATCH(MAX(C51:E51),C51:E51,0))</f>
        <v>A</v>
      </c>
    </row>
    <row r="52" spans="1:6" x14ac:dyDescent="0.2">
      <c r="A52" s="20">
        <v>0.94</v>
      </c>
      <c r="B52" s="21">
        <f t="shared" si="1"/>
        <v>1.2000000000000011E-2</v>
      </c>
      <c r="C52" s="17">
        <f>A52*Scores!D10+B52*(SUM(Scores!D6:D11)-Scores!D10)</f>
        <v>92.84</v>
      </c>
      <c r="D52" s="17">
        <f>A52*Scores!E10+B52*(SUM(Scores!E6:E11)-Scores!E10)</f>
        <v>11.74</v>
      </c>
      <c r="E52" s="17">
        <f>A52*Scores!F10+B52*(SUM(Scores!F6:F11)-Scores!F10)</f>
        <v>74.052000000000007</v>
      </c>
      <c r="F52" s="7" t="str">
        <f>INDEX({"A","B","C"},MATCH(MAX(C52:E52),C52:E52,0))</f>
        <v>A</v>
      </c>
    </row>
    <row r="53" spans="1:6" x14ac:dyDescent="0.2">
      <c r="A53" s="20">
        <v>0.96</v>
      </c>
      <c r="B53" s="21">
        <f t="shared" si="1"/>
        <v>8.0000000000000071E-3</v>
      </c>
      <c r="C53" s="17">
        <f>A53*Scores!D10+B53*(SUM(Scores!D6:D11)-Scores!D10)</f>
        <v>93.56</v>
      </c>
      <c r="D53" s="17">
        <f>A53*Scores!E10+B53*(SUM(Scores!E6:E11)-Scores!E10)</f>
        <v>11.16</v>
      </c>
      <c r="E53" s="17">
        <f>A53*Scores!F10+B53*(SUM(Scores!F6:F11)-Scores!F10)</f>
        <v>74.367999999999995</v>
      </c>
      <c r="F53" s="7" t="str">
        <f>INDEX({"A","B","C"},MATCH(MAX(C53:E53),C53:E53,0))</f>
        <v>A</v>
      </c>
    </row>
    <row r="54" spans="1:6" x14ac:dyDescent="0.2">
      <c r="A54" s="20">
        <v>0.98</v>
      </c>
      <c r="B54" s="21">
        <f t="shared" si="1"/>
        <v>4.0000000000000036E-3</v>
      </c>
      <c r="C54" s="17">
        <f>A54*Scores!D10+B54*(SUM(Scores!D6:D11)-Scores!D10)</f>
        <v>94.28</v>
      </c>
      <c r="D54" s="17">
        <f>A54*Scores!E10+B54*(SUM(Scores!E6:E11)-Scores!E10)</f>
        <v>10.580000000000002</v>
      </c>
      <c r="E54" s="17">
        <f>A54*Scores!F10+B54*(SUM(Scores!F6:F11)-Scores!F10)</f>
        <v>74.683999999999997</v>
      </c>
      <c r="F54" s="7" t="str">
        <f>INDEX({"A","B","C"},MATCH(MAX(C54:E54),C54:E54,0))</f>
        <v>A</v>
      </c>
    </row>
    <row r="55" spans="1:6" x14ac:dyDescent="0.2">
      <c r="A55" s="20">
        <v>1</v>
      </c>
      <c r="B55" s="21">
        <f t="shared" si="1"/>
        <v>0</v>
      </c>
      <c r="C55" s="17">
        <f>A55*Scores!D10+B55*(SUM(Scores!D6:D11)-Scores!D10)</f>
        <v>95</v>
      </c>
      <c r="D55" s="17">
        <f>A55*Scores!E10+B55*(SUM(Scores!E6:E11)-Scores!E10)</f>
        <v>10</v>
      </c>
      <c r="E55" s="17">
        <f>A55*Scores!F10+B55*(SUM(Scores!F6:F11)-Scores!F10)</f>
        <v>75</v>
      </c>
      <c r="F55" s="7" t="str">
        <f>INDEX({"A","B","C"},MATCH(MAX(C55:E55),C55:E55,0))</f>
        <v>A</v>
      </c>
    </row>
    <row r="57" spans="1:6" x14ac:dyDescent="0.2">
      <c r="A57" s="2" t="s">
        <v>55</v>
      </c>
      <c r="B57" s="2"/>
      <c r="C57" s="22">
        <f>IFERROR(((SUM(Scores!F6:F11)-Scores!F10)-(SUM(Scores!E6:E11)-Scores!E10))/(5*(Scores!E10-Scores!F10)+(SUM(Scores!F6:F11)-Scores!F10)-(SUM(Scores!E6:E11)-Scores!E10)),"undefined")</f>
        <v>-0.45089285714285715</v>
      </c>
    </row>
    <row r="58" spans="1:6" x14ac:dyDescent="0.2">
      <c r="A58" s="2" t="s">
        <v>56</v>
      </c>
      <c r="B58" s="2"/>
      <c r="C58" s="22">
        <f>IFERROR(((SUM(Scores!F6:F11)-Scores!F10)-(SUM(Scores!D6:D11)-Scores!D10))/(5*(Scores!D10-Scores!F10)+(SUM(Scores!F6:F11)-Scores!F10)-(SUM(Scores!D6:D11)-Scores!D10)),"undefined")</f>
        <v>9.9009900990099011E-3</v>
      </c>
    </row>
    <row r="60" spans="1:6" ht="15" customHeight="1" x14ac:dyDescent="0.2">
      <c r="A60" s="3" t="s">
        <v>57</v>
      </c>
      <c r="B60" s="3"/>
      <c r="C60" s="3"/>
      <c r="D60" s="3"/>
      <c r="E60" s="3"/>
      <c r="F60" s="3"/>
    </row>
    <row r="61" spans="1:6" x14ac:dyDescent="0.2">
      <c r="A61" s="3"/>
      <c r="B61" s="3"/>
      <c r="C61" s="3"/>
      <c r="D61" s="3"/>
      <c r="E61" s="3"/>
      <c r="F61" s="3"/>
    </row>
  </sheetData>
  <mergeCells count="5">
    <mergeCell ref="A1:F1"/>
    <mergeCell ref="A2:F3"/>
    <mergeCell ref="A57:B57"/>
    <mergeCell ref="A58:B58"/>
    <mergeCell ref="A60:F6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1"/>
  <sheetViews>
    <sheetView tabSelected="1" zoomScaleNormal="100" workbookViewId="0">
      <selection sqref="A1:F1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6" width="12" customWidth="1"/>
  </cols>
  <sheetData>
    <row r="1" spans="1:6" ht="18" x14ac:dyDescent="0.2">
      <c r="A1" s="4" t="s">
        <v>70</v>
      </c>
      <c r="B1" s="4"/>
      <c r="C1" s="4"/>
      <c r="D1" s="4"/>
      <c r="E1" s="4"/>
      <c r="F1" s="4"/>
    </row>
    <row r="2" spans="1:6" ht="15" customHeight="1" x14ac:dyDescent="0.2">
      <c r="A2" s="3" t="s">
        <v>71</v>
      </c>
      <c r="B2" s="3"/>
      <c r="C2" s="3"/>
      <c r="D2" s="3"/>
      <c r="E2" s="3"/>
      <c r="F2" s="3"/>
    </row>
    <row r="3" spans="1:6" x14ac:dyDescent="0.2">
      <c r="A3" s="3"/>
      <c r="B3" s="3"/>
      <c r="C3" s="3"/>
      <c r="D3" s="3"/>
      <c r="E3" s="3"/>
      <c r="F3" s="3"/>
    </row>
    <row r="4" spans="1:6" x14ac:dyDescent="0.2">
      <c r="A4" s="6" t="s">
        <v>72</v>
      </c>
      <c r="B4" s="6" t="s">
        <v>53</v>
      </c>
      <c r="C4" s="6" t="s">
        <v>6</v>
      </c>
      <c r="D4" s="6" t="s">
        <v>7</v>
      </c>
      <c r="E4" s="6" t="s">
        <v>8</v>
      </c>
      <c r="F4" s="6" t="s">
        <v>54</v>
      </c>
    </row>
    <row r="5" spans="1:6" x14ac:dyDescent="0.2">
      <c r="A5" s="20">
        <v>0</v>
      </c>
      <c r="B5" s="21">
        <f t="shared" ref="B5:B36" si="0">(1-A5)/5</f>
        <v>0.2</v>
      </c>
      <c r="C5" s="17">
        <f>A5*Scores!D11+B5*(SUM(Scores!D6:D11)-Scores!D11)</f>
        <v>75</v>
      </c>
      <c r="D5" s="17">
        <f>A5*Scores!E11+B5*(SUM(Scores!E6:E11)-Scores!E11)</f>
        <v>30</v>
      </c>
      <c r="E5" s="17">
        <f>A5*Scores!F11+B5*(SUM(Scores!F6:F11)-Scores!F11)</f>
        <v>56.2</v>
      </c>
      <c r="F5" s="7" t="str">
        <f>INDEX({"A","B","C"},MATCH(MAX(C5:E5),C5:E5,0))</f>
        <v>A</v>
      </c>
    </row>
    <row r="6" spans="1:6" x14ac:dyDescent="0.2">
      <c r="A6" s="20">
        <v>0.02</v>
      </c>
      <c r="B6" s="21">
        <f t="shared" si="0"/>
        <v>0.19600000000000001</v>
      </c>
      <c r="C6" s="17">
        <f>A6*Scores!D11+B6*(SUM(Scores!D6:D11)-Scores!D11)</f>
        <v>73.8</v>
      </c>
      <c r="D6" s="17">
        <f>A6*Scores!E11+B6*(SUM(Scores!E6:E11)-Scores!E11)</f>
        <v>30.500000000000004</v>
      </c>
      <c r="E6" s="17">
        <f>A6*Scores!F11+B6*(SUM(Scores!F6:F11)-Scores!F11)</f>
        <v>56.875999999999998</v>
      </c>
      <c r="F6" s="7" t="str">
        <f>INDEX({"A","B","C"},MATCH(MAX(C6:E6),C6:E6,0))</f>
        <v>A</v>
      </c>
    </row>
    <row r="7" spans="1:6" x14ac:dyDescent="0.2">
      <c r="A7" s="20">
        <v>0.04</v>
      </c>
      <c r="B7" s="21">
        <f t="shared" si="0"/>
        <v>0.192</v>
      </c>
      <c r="C7" s="17">
        <f>A7*Scores!D11+B7*(SUM(Scores!D6:D11)-Scores!D11)</f>
        <v>72.599999999999994</v>
      </c>
      <c r="D7" s="17">
        <f>A7*Scores!E11+B7*(SUM(Scores!E6:E11)-Scores!E11)</f>
        <v>31</v>
      </c>
      <c r="E7" s="17">
        <f>A7*Scores!F11+B7*(SUM(Scores!F6:F11)-Scores!F11)</f>
        <v>57.552</v>
      </c>
      <c r="F7" s="7" t="str">
        <f>INDEX({"A","B","C"},MATCH(MAX(C7:E7),C7:E7,0))</f>
        <v>A</v>
      </c>
    </row>
    <row r="8" spans="1:6" x14ac:dyDescent="0.2">
      <c r="A8" s="20">
        <v>0.06</v>
      </c>
      <c r="B8" s="21">
        <f t="shared" si="0"/>
        <v>0.188</v>
      </c>
      <c r="C8" s="17">
        <f>A8*Scores!D11+B8*(SUM(Scores!D6:D11)-Scores!D11)</f>
        <v>71.400000000000006</v>
      </c>
      <c r="D8" s="17">
        <f>A8*Scores!E11+B8*(SUM(Scores!E6:E11)-Scores!E11)</f>
        <v>31.5</v>
      </c>
      <c r="E8" s="17">
        <f>A8*Scores!F11+B8*(SUM(Scores!F6:F11)-Scores!F11)</f>
        <v>58.228000000000002</v>
      </c>
      <c r="F8" s="7" t="str">
        <f>INDEX({"A","B","C"},MATCH(MAX(C8:E8),C8:E8,0))</f>
        <v>A</v>
      </c>
    </row>
    <row r="9" spans="1:6" x14ac:dyDescent="0.2">
      <c r="A9" s="20">
        <v>0.08</v>
      </c>
      <c r="B9" s="21">
        <f t="shared" si="0"/>
        <v>0.184</v>
      </c>
      <c r="C9" s="17">
        <f>A9*Scores!D11+B9*(SUM(Scores!D6:D11)-Scores!D11)</f>
        <v>70.2</v>
      </c>
      <c r="D9" s="17">
        <f>A9*Scores!E11+B9*(SUM(Scores!E6:E11)-Scores!E11)</f>
        <v>32</v>
      </c>
      <c r="E9" s="17">
        <f>A9*Scores!F11+B9*(SUM(Scores!F6:F11)-Scores!F11)</f>
        <v>58.904000000000003</v>
      </c>
      <c r="F9" s="7" t="str">
        <f>INDEX({"A","B","C"},MATCH(MAX(C9:E9),C9:E9,0))</f>
        <v>A</v>
      </c>
    </row>
    <row r="10" spans="1:6" x14ac:dyDescent="0.2">
      <c r="A10" s="20">
        <v>0.1</v>
      </c>
      <c r="B10" s="21">
        <f t="shared" si="0"/>
        <v>0.18</v>
      </c>
      <c r="C10" s="17">
        <f>A10*Scores!D11+B10*(SUM(Scores!D6:D11)-Scores!D11)</f>
        <v>69</v>
      </c>
      <c r="D10" s="17">
        <f>A10*Scores!E11+B10*(SUM(Scores!E6:E11)-Scores!E11)</f>
        <v>32.5</v>
      </c>
      <c r="E10" s="17">
        <f>A10*Scores!F11+B10*(SUM(Scores!F6:F11)-Scores!F11)</f>
        <v>59.58</v>
      </c>
      <c r="F10" s="7" t="str">
        <f>INDEX({"A","B","C"},MATCH(MAX(C10:E10),C10:E10,0))</f>
        <v>A</v>
      </c>
    </row>
    <row r="11" spans="1:6" x14ac:dyDescent="0.2">
      <c r="A11" s="20">
        <v>0.12</v>
      </c>
      <c r="B11" s="21">
        <f t="shared" si="0"/>
        <v>0.17599999999999999</v>
      </c>
      <c r="C11" s="17">
        <f>A11*Scores!D11+B11*(SUM(Scores!D6:D11)-Scores!D11)</f>
        <v>67.8</v>
      </c>
      <c r="D11" s="17">
        <f>A11*Scores!E11+B11*(SUM(Scores!E6:E11)-Scores!E11)</f>
        <v>33</v>
      </c>
      <c r="E11" s="17">
        <f>A11*Scores!F11+B11*(SUM(Scores!F6:F11)-Scores!F11)</f>
        <v>60.255999999999993</v>
      </c>
      <c r="F11" s="7" t="str">
        <f>INDEX({"A","B","C"},MATCH(MAX(C11:E11),C11:E11,0))</f>
        <v>A</v>
      </c>
    </row>
    <row r="12" spans="1:6" x14ac:dyDescent="0.2">
      <c r="A12" s="20">
        <v>0.14000000000000001</v>
      </c>
      <c r="B12" s="21">
        <f t="shared" si="0"/>
        <v>0.17199999999999999</v>
      </c>
      <c r="C12" s="17">
        <f>A12*Scores!D11+B12*(SUM(Scores!D6:D11)-Scores!D11)</f>
        <v>66.599999999999994</v>
      </c>
      <c r="D12" s="17">
        <f>A12*Scores!E11+B12*(SUM(Scores!E6:E11)-Scores!E11)</f>
        <v>33.5</v>
      </c>
      <c r="E12" s="17">
        <f>A12*Scores!F11+B12*(SUM(Scores!F6:F11)-Scores!F11)</f>
        <v>60.931999999999995</v>
      </c>
      <c r="F12" s="7" t="str">
        <f>INDEX({"A","B","C"},MATCH(MAX(C12:E12),C12:E12,0))</f>
        <v>A</v>
      </c>
    </row>
    <row r="13" spans="1:6" x14ac:dyDescent="0.2">
      <c r="A13" s="20">
        <v>0.16</v>
      </c>
      <c r="B13" s="21">
        <f t="shared" si="0"/>
        <v>0.16799999999999998</v>
      </c>
      <c r="C13" s="17">
        <f>A13*Scores!D11+B13*(SUM(Scores!D6:D11)-Scores!D11)</f>
        <v>65.399999999999991</v>
      </c>
      <c r="D13" s="17">
        <f>A13*Scores!E11+B13*(SUM(Scores!E6:E11)-Scores!E11)</f>
        <v>34</v>
      </c>
      <c r="E13" s="17">
        <f>A13*Scores!F11+B13*(SUM(Scores!F6:F11)-Scores!F11)</f>
        <v>61.607999999999997</v>
      </c>
      <c r="F13" s="7" t="str">
        <f>INDEX({"A","B","C"},MATCH(MAX(C13:E13),C13:E13,0))</f>
        <v>A</v>
      </c>
    </row>
    <row r="14" spans="1:6" x14ac:dyDescent="0.2">
      <c r="A14" s="20">
        <v>0.18</v>
      </c>
      <c r="B14" s="21">
        <f t="shared" si="0"/>
        <v>0.16400000000000001</v>
      </c>
      <c r="C14" s="17">
        <f>A14*Scores!D11+B14*(SUM(Scores!D6:D11)-Scores!D11)</f>
        <v>64.2</v>
      </c>
      <c r="D14" s="17">
        <f>A14*Scores!E11+B14*(SUM(Scores!E6:E11)-Scores!E11)</f>
        <v>34.5</v>
      </c>
      <c r="E14" s="17">
        <f>A14*Scores!F11+B14*(SUM(Scores!F6:F11)-Scores!F11)</f>
        <v>62.284000000000006</v>
      </c>
      <c r="F14" s="7" t="str">
        <f>INDEX({"A","B","C"},MATCH(MAX(C14:E14),C14:E14,0))</f>
        <v>A</v>
      </c>
    </row>
    <row r="15" spans="1:6" x14ac:dyDescent="0.2">
      <c r="A15" s="20">
        <v>0.2</v>
      </c>
      <c r="B15" s="21">
        <f t="shared" si="0"/>
        <v>0.16</v>
      </c>
      <c r="C15" s="17">
        <f>A15*Scores!D11+B15*(SUM(Scores!D6:D11)-Scores!D11)</f>
        <v>63</v>
      </c>
      <c r="D15" s="17">
        <f>A15*Scores!E11+B15*(SUM(Scores!E6:E11)-Scores!E11)</f>
        <v>35</v>
      </c>
      <c r="E15" s="17">
        <f>A15*Scores!F11+B15*(SUM(Scores!F6:F11)-Scores!F11)</f>
        <v>62.96</v>
      </c>
      <c r="F15" s="7" t="str">
        <f>INDEX({"A","B","C"},MATCH(MAX(C15:E15),C15:E15,0))</f>
        <v>A</v>
      </c>
    </row>
    <row r="16" spans="1:6" x14ac:dyDescent="0.2">
      <c r="A16" s="20">
        <v>0.22</v>
      </c>
      <c r="B16" s="21">
        <f t="shared" si="0"/>
        <v>0.156</v>
      </c>
      <c r="C16" s="17">
        <f>A16*Scores!D11+B16*(SUM(Scores!D6:D11)-Scores!D11)</f>
        <v>61.8</v>
      </c>
      <c r="D16" s="17">
        <f>A16*Scores!E11+B16*(SUM(Scores!E6:E11)-Scores!E11)</f>
        <v>35.5</v>
      </c>
      <c r="E16" s="17">
        <f>A16*Scores!F11+B16*(SUM(Scores!F6:F11)-Scores!F11)</f>
        <v>63.635999999999996</v>
      </c>
      <c r="F16" s="7" t="str">
        <f>INDEX({"A","B","C"},MATCH(MAX(C16:E16),C16:E16,0))</f>
        <v>C</v>
      </c>
    </row>
    <row r="17" spans="1:6" x14ac:dyDescent="0.2">
      <c r="A17" s="20">
        <v>0.24</v>
      </c>
      <c r="B17" s="21">
        <f t="shared" si="0"/>
        <v>0.152</v>
      </c>
      <c r="C17" s="17">
        <f>A17*Scores!D11+B17*(SUM(Scores!D6:D11)-Scores!D11)</f>
        <v>60.6</v>
      </c>
      <c r="D17" s="17">
        <f>A17*Scores!E11+B17*(SUM(Scores!E6:E11)-Scores!E11)</f>
        <v>36</v>
      </c>
      <c r="E17" s="17">
        <f>A17*Scores!F11+B17*(SUM(Scores!F6:F11)-Scores!F11)</f>
        <v>64.311999999999998</v>
      </c>
      <c r="F17" s="7" t="str">
        <f>INDEX({"A","B","C"},MATCH(MAX(C17:E17),C17:E17,0))</f>
        <v>C</v>
      </c>
    </row>
    <row r="18" spans="1:6" x14ac:dyDescent="0.2">
      <c r="A18" s="20">
        <v>0.26</v>
      </c>
      <c r="B18" s="21">
        <f t="shared" si="0"/>
        <v>0.14799999999999999</v>
      </c>
      <c r="C18" s="17">
        <f>A18*Scores!D11+B18*(SUM(Scores!D6:D11)-Scores!D11)</f>
        <v>59.4</v>
      </c>
      <c r="D18" s="17">
        <f>A18*Scores!E11+B18*(SUM(Scores!E6:E11)-Scores!E11)</f>
        <v>36.5</v>
      </c>
      <c r="E18" s="17">
        <f>A18*Scores!F11+B18*(SUM(Scores!F6:F11)-Scores!F11)</f>
        <v>64.988</v>
      </c>
      <c r="F18" s="7" t="str">
        <f>INDEX({"A","B","C"},MATCH(MAX(C18:E18),C18:E18,0))</f>
        <v>C</v>
      </c>
    </row>
    <row r="19" spans="1:6" x14ac:dyDescent="0.2">
      <c r="A19" s="20">
        <v>0.28000000000000003</v>
      </c>
      <c r="B19" s="21">
        <f t="shared" si="0"/>
        <v>0.14399999999999999</v>
      </c>
      <c r="C19" s="17">
        <f>A19*Scores!D11+B19*(SUM(Scores!D6:D11)-Scores!D11)</f>
        <v>58.199999999999996</v>
      </c>
      <c r="D19" s="17">
        <f>A19*Scores!E11+B19*(SUM(Scores!E6:E11)-Scores!E11)</f>
        <v>37</v>
      </c>
      <c r="E19" s="17">
        <f>A19*Scores!F11+B19*(SUM(Scores!F6:F11)-Scores!F11)</f>
        <v>65.664000000000001</v>
      </c>
      <c r="F19" s="7" t="str">
        <f>INDEX({"A","B","C"},MATCH(MAX(C19:E19),C19:E19,0))</f>
        <v>C</v>
      </c>
    </row>
    <row r="20" spans="1:6" x14ac:dyDescent="0.2">
      <c r="A20" s="20">
        <v>0.3</v>
      </c>
      <c r="B20" s="21">
        <f t="shared" si="0"/>
        <v>0.13999999999999999</v>
      </c>
      <c r="C20" s="17">
        <f>A20*Scores!D11+B20*(SUM(Scores!D6:D11)-Scores!D11)</f>
        <v>56.999999999999993</v>
      </c>
      <c r="D20" s="17">
        <f>A20*Scores!E11+B20*(SUM(Scores!E6:E11)-Scores!E11)</f>
        <v>37.5</v>
      </c>
      <c r="E20" s="17">
        <f>A20*Scores!F11+B20*(SUM(Scores!F6:F11)-Scores!F11)</f>
        <v>66.34</v>
      </c>
      <c r="F20" s="7" t="str">
        <f>INDEX({"A","B","C"},MATCH(MAX(C20:E20),C20:E20,0))</f>
        <v>C</v>
      </c>
    </row>
    <row r="21" spans="1:6" x14ac:dyDescent="0.2">
      <c r="A21" s="20">
        <v>0.32</v>
      </c>
      <c r="B21" s="21">
        <f t="shared" si="0"/>
        <v>0.13599999999999998</v>
      </c>
      <c r="C21" s="17">
        <f>A21*Scores!D11+B21*(SUM(Scores!D6:D11)-Scores!D11)</f>
        <v>55.79999999999999</v>
      </c>
      <c r="D21" s="17">
        <f>A21*Scores!E11+B21*(SUM(Scores!E6:E11)-Scores!E11)</f>
        <v>38</v>
      </c>
      <c r="E21" s="17">
        <f>A21*Scores!F11+B21*(SUM(Scores!F6:F11)-Scores!F11)</f>
        <v>67.015999999999991</v>
      </c>
      <c r="F21" s="7" t="str">
        <f>INDEX({"A","B","C"},MATCH(MAX(C21:E21),C21:E21,0))</f>
        <v>C</v>
      </c>
    </row>
    <row r="22" spans="1:6" x14ac:dyDescent="0.2">
      <c r="A22" s="20">
        <v>0.34</v>
      </c>
      <c r="B22" s="21">
        <f t="shared" si="0"/>
        <v>0.13199999999999998</v>
      </c>
      <c r="C22" s="17">
        <f>A22*Scores!D11+B22*(SUM(Scores!D6:D11)-Scores!D11)</f>
        <v>54.599999999999994</v>
      </c>
      <c r="D22" s="17">
        <f>A22*Scores!E11+B22*(SUM(Scores!E6:E11)-Scores!E11)</f>
        <v>38.5</v>
      </c>
      <c r="E22" s="17">
        <f>A22*Scores!F11+B22*(SUM(Scores!F6:F11)-Scores!F11)</f>
        <v>67.691999999999993</v>
      </c>
      <c r="F22" s="7" t="str">
        <f>INDEX({"A","B","C"},MATCH(MAX(C22:E22),C22:E22,0))</f>
        <v>C</v>
      </c>
    </row>
    <row r="23" spans="1:6" x14ac:dyDescent="0.2">
      <c r="A23" s="20">
        <v>0.36</v>
      </c>
      <c r="B23" s="21">
        <f t="shared" si="0"/>
        <v>0.128</v>
      </c>
      <c r="C23" s="17">
        <f>A23*Scores!D11+B23*(SUM(Scores!D6:D11)-Scores!D11)</f>
        <v>53.4</v>
      </c>
      <c r="D23" s="17">
        <f>A23*Scores!E11+B23*(SUM(Scores!E6:E11)-Scores!E11)</f>
        <v>39</v>
      </c>
      <c r="E23" s="17">
        <f>A23*Scores!F11+B23*(SUM(Scores!F6:F11)-Scores!F11)</f>
        <v>68.367999999999995</v>
      </c>
      <c r="F23" s="7" t="str">
        <f>INDEX({"A","B","C"},MATCH(MAX(C23:E23),C23:E23,0))</f>
        <v>C</v>
      </c>
    </row>
    <row r="24" spans="1:6" x14ac:dyDescent="0.2">
      <c r="A24" s="20">
        <v>0.38</v>
      </c>
      <c r="B24" s="21">
        <f t="shared" si="0"/>
        <v>0.124</v>
      </c>
      <c r="C24" s="17">
        <f>A24*Scores!D11+B24*(SUM(Scores!D6:D11)-Scores!D11)</f>
        <v>52.2</v>
      </c>
      <c r="D24" s="17">
        <f>A24*Scores!E11+B24*(SUM(Scores!E6:E11)-Scores!E11)</f>
        <v>39.5</v>
      </c>
      <c r="E24" s="17">
        <f>A24*Scores!F11+B24*(SUM(Scores!F6:F11)-Scores!F11)</f>
        <v>69.044000000000011</v>
      </c>
      <c r="F24" s="7" t="str">
        <f>INDEX({"A","B","C"},MATCH(MAX(C24:E24),C24:E24,0))</f>
        <v>C</v>
      </c>
    </row>
    <row r="25" spans="1:6" x14ac:dyDescent="0.2">
      <c r="A25" s="20">
        <v>0.4</v>
      </c>
      <c r="B25" s="21">
        <f t="shared" si="0"/>
        <v>0.12</v>
      </c>
      <c r="C25" s="17">
        <f>A25*Scores!D11+B25*(SUM(Scores!D6:D11)-Scores!D11)</f>
        <v>51</v>
      </c>
      <c r="D25" s="17">
        <f>A25*Scores!E11+B25*(SUM(Scores!E6:E11)-Scores!E11)</f>
        <v>40</v>
      </c>
      <c r="E25" s="17">
        <f>A25*Scores!F11+B25*(SUM(Scores!F6:F11)-Scores!F11)</f>
        <v>69.72</v>
      </c>
      <c r="F25" s="7" t="str">
        <f>INDEX({"A","B","C"},MATCH(MAX(C25:E25),C25:E25,0))</f>
        <v>C</v>
      </c>
    </row>
    <row r="26" spans="1:6" x14ac:dyDescent="0.2">
      <c r="A26" s="20">
        <v>0.42</v>
      </c>
      <c r="B26" s="21">
        <f t="shared" si="0"/>
        <v>0.11600000000000002</v>
      </c>
      <c r="C26" s="17">
        <f>A26*Scores!D11+B26*(SUM(Scores!D6:D11)-Scores!D11)</f>
        <v>49.800000000000004</v>
      </c>
      <c r="D26" s="17">
        <f>A26*Scores!E11+B26*(SUM(Scores!E6:E11)-Scores!E11)</f>
        <v>40.5</v>
      </c>
      <c r="E26" s="17">
        <f>A26*Scores!F11+B26*(SUM(Scores!F6:F11)-Scores!F11)</f>
        <v>70.396000000000001</v>
      </c>
      <c r="F26" s="7" t="str">
        <f>INDEX({"A","B","C"},MATCH(MAX(C26:E26),C26:E26,0))</f>
        <v>C</v>
      </c>
    </row>
    <row r="27" spans="1:6" x14ac:dyDescent="0.2">
      <c r="A27" s="20">
        <v>0.44</v>
      </c>
      <c r="B27" s="21">
        <f t="shared" si="0"/>
        <v>0.11200000000000002</v>
      </c>
      <c r="C27" s="17">
        <f>A27*Scores!D11+B27*(SUM(Scores!D6:D11)-Scores!D11)</f>
        <v>48.600000000000009</v>
      </c>
      <c r="D27" s="17">
        <f>A27*Scores!E11+B27*(SUM(Scores!E6:E11)-Scores!E11)</f>
        <v>41</v>
      </c>
      <c r="E27" s="17">
        <f>A27*Scores!F11+B27*(SUM(Scores!F6:F11)-Scores!F11)</f>
        <v>71.072000000000003</v>
      </c>
      <c r="F27" s="7" t="str">
        <f>INDEX({"A","B","C"},MATCH(MAX(C27:E27),C27:E27,0))</f>
        <v>C</v>
      </c>
    </row>
    <row r="28" spans="1:6" x14ac:dyDescent="0.2">
      <c r="A28" s="20">
        <v>0.46</v>
      </c>
      <c r="B28" s="21">
        <f t="shared" si="0"/>
        <v>0.10800000000000001</v>
      </c>
      <c r="C28" s="17">
        <f>A28*Scores!D11+B28*(SUM(Scores!D6:D11)-Scores!D11)</f>
        <v>47.400000000000006</v>
      </c>
      <c r="D28" s="17">
        <f>A28*Scores!E11+B28*(SUM(Scores!E6:E11)-Scores!E11)</f>
        <v>41.5</v>
      </c>
      <c r="E28" s="17">
        <f>A28*Scores!F11+B28*(SUM(Scores!F6:F11)-Scores!F11)</f>
        <v>71.748000000000005</v>
      </c>
      <c r="F28" s="7" t="str">
        <f>INDEX({"A","B","C"},MATCH(MAX(C28:E28),C28:E28,0))</f>
        <v>C</v>
      </c>
    </row>
    <row r="29" spans="1:6" x14ac:dyDescent="0.2">
      <c r="A29" s="20">
        <v>0.48</v>
      </c>
      <c r="B29" s="21">
        <f t="shared" si="0"/>
        <v>0.10400000000000001</v>
      </c>
      <c r="C29" s="17">
        <f>A29*Scores!D11+B29*(SUM(Scores!D6:D11)-Scores!D11)</f>
        <v>46.2</v>
      </c>
      <c r="D29" s="17">
        <f>A29*Scores!E11+B29*(SUM(Scores!E6:E11)-Scores!E11)</f>
        <v>42</v>
      </c>
      <c r="E29" s="17">
        <f>A29*Scores!F11+B29*(SUM(Scores!F6:F11)-Scores!F11)</f>
        <v>72.424000000000007</v>
      </c>
      <c r="F29" s="7" t="str">
        <f>INDEX({"A","B","C"},MATCH(MAX(C29:E29),C29:E29,0))</f>
        <v>C</v>
      </c>
    </row>
    <row r="30" spans="1:6" x14ac:dyDescent="0.2">
      <c r="A30" s="20">
        <v>0.5</v>
      </c>
      <c r="B30" s="21">
        <f t="shared" si="0"/>
        <v>0.1</v>
      </c>
      <c r="C30" s="17">
        <f>A30*Scores!D11+B30*(SUM(Scores!D6:D11)-Scores!D11)</f>
        <v>45</v>
      </c>
      <c r="D30" s="17">
        <f>A30*Scores!E11+B30*(SUM(Scores!E6:E11)-Scores!E11)</f>
        <v>42.5</v>
      </c>
      <c r="E30" s="17">
        <f>A30*Scores!F11+B30*(SUM(Scores!F6:F11)-Scores!F11)</f>
        <v>73.099999999999994</v>
      </c>
      <c r="F30" s="7" t="str">
        <f>INDEX({"A","B","C"},MATCH(MAX(C30:E30),C30:E30,0))</f>
        <v>C</v>
      </c>
    </row>
    <row r="31" spans="1:6" x14ac:dyDescent="0.2">
      <c r="A31" s="20">
        <v>0.52</v>
      </c>
      <c r="B31" s="21">
        <f t="shared" si="0"/>
        <v>9.6000000000000002E-2</v>
      </c>
      <c r="C31" s="17">
        <f>A31*Scores!D11+B31*(SUM(Scores!D6:D11)-Scores!D11)</f>
        <v>43.8</v>
      </c>
      <c r="D31" s="17">
        <f>A31*Scores!E11+B31*(SUM(Scores!E6:E11)-Scores!E11)</f>
        <v>43</v>
      </c>
      <c r="E31" s="17">
        <f>A31*Scores!F11+B31*(SUM(Scores!F6:F11)-Scores!F11)</f>
        <v>73.77600000000001</v>
      </c>
      <c r="F31" s="7" t="str">
        <f>INDEX({"A","B","C"},MATCH(MAX(C31:E31),C31:E31,0))</f>
        <v>C</v>
      </c>
    </row>
    <row r="32" spans="1:6" x14ac:dyDescent="0.2">
      <c r="A32" s="20">
        <v>0.54</v>
      </c>
      <c r="B32" s="21">
        <f t="shared" si="0"/>
        <v>9.1999999999999998E-2</v>
      </c>
      <c r="C32" s="17">
        <f>A32*Scores!D11+B32*(SUM(Scores!D6:D11)-Scores!D11)</f>
        <v>42.6</v>
      </c>
      <c r="D32" s="17">
        <f>A32*Scores!E11+B32*(SUM(Scores!E6:E11)-Scores!E11)</f>
        <v>43.5</v>
      </c>
      <c r="E32" s="17">
        <f>A32*Scores!F11+B32*(SUM(Scores!F6:F11)-Scores!F11)</f>
        <v>74.451999999999998</v>
      </c>
      <c r="F32" s="7" t="str">
        <f>INDEX({"A","B","C"},MATCH(MAX(C32:E32),C32:E32,0))</f>
        <v>C</v>
      </c>
    </row>
    <row r="33" spans="1:6" x14ac:dyDescent="0.2">
      <c r="A33" s="20">
        <v>0.56000000000000005</v>
      </c>
      <c r="B33" s="21">
        <f t="shared" si="0"/>
        <v>8.7999999999999995E-2</v>
      </c>
      <c r="C33" s="17">
        <f>A33*Scores!D11+B33*(SUM(Scores!D6:D11)-Scores!D11)</f>
        <v>41.4</v>
      </c>
      <c r="D33" s="17">
        <f>A33*Scores!E11+B33*(SUM(Scores!E6:E11)-Scores!E11)</f>
        <v>44</v>
      </c>
      <c r="E33" s="17">
        <f>A33*Scores!F11+B33*(SUM(Scores!F6:F11)-Scores!F11)</f>
        <v>75.128</v>
      </c>
      <c r="F33" s="7" t="str">
        <f>INDEX({"A","B","C"},MATCH(MAX(C33:E33),C33:E33,0))</f>
        <v>C</v>
      </c>
    </row>
    <row r="34" spans="1:6" x14ac:dyDescent="0.2">
      <c r="A34" s="20">
        <v>0.57999999999999996</v>
      </c>
      <c r="B34" s="21">
        <f t="shared" si="0"/>
        <v>8.4000000000000005E-2</v>
      </c>
      <c r="C34" s="17">
        <f>A34*Scores!D11+B34*(SUM(Scores!D6:D11)-Scores!D11)</f>
        <v>40.200000000000003</v>
      </c>
      <c r="D34" s="17">
        <f>A34*Scores!E11+B34*(SUM(Scores!E6:E11)-Scores!E11)</f>
        <v>44.5</v>
      </c>
      <c r="E34" s="17">
        <f>A34*Scores!F11+B34*(SUM(Scores!F6:F11)-Scores!F11)</f>
        <v>75.804000000000002</v>
      </c>
      <c r="F34" s="7" t="str">
        <f>INDEX({"A","B","C"},MATCH(MAX(C34:E34),C34:E34,0))</f>
        <v>C</v>
      </c>
    </row>
    <row r="35" spans="1:6" x14ac:dyDescent="0.2">
      <c r="A35" s="20">
        <v>0.6</v>
      </c>
      <c r="B35" s="21">
        <f t="shared" si="0"/>
        <v>0.08</v>
      </c>
      <c r="C35" s="17">
        <f>A35*Scores!D11+B35*(SUM(Scores!D6:D11)-Scores!D11)</f>
        <v>39</v>
      </c>
      <c r="D35" s="17">
        <f>A35*Scores!E11+B35*(SUM(Scores!E6:E11)-Scores!E11)</f>
        <v>45</v>
      </c>
      <c r="E35" s="17">
        <f>A35*Scores!F11+B35*(SUM(Scores!F6:F11)-Scores!F11)</f>
        <v>76.48</v>
      </c>
      <c r="F35" s="7" t="str">
        <f>INDEX({"A","B","C"},MATCH(MAX(C35:E35),C35:E35,0))</f>
        <v>C</v>
      </c>
    </row>
    <row r="36" spans="1:6" x14ac:dyDescent="0.2">
      <c r="A36" s="20">
        <v>0.62</v>
      </c>
      <c r="B36" s="21">
        <f t="shared" si="0"/>
        <v>7.5999999999999998E-2</v>
      </c>
      <c r="C36" s="17">
        <f>A36*Scores!D11+B36*(SUM(Scores!D6:D11)-Scores!D11)</f>
        <v>37.799999999999997</v>
      </c>
      <c r="D36" s="17">
        <f>A36*Scores!E11+B36*(SUM(Scores!E6:E11)-Scores!E11)</f>
        <v>45.5</v>
      </c>
      <c r="E36" s="17">
        <f>A36*Scores!F11+B36*(SUM(Scores!F6:F11)-Scores!F11)</f>
        <v>77.155999999999992</v>
      </c>
      <c r="F36" s="7" t="str">
        <f>INDEX({"A","B","C"},MATCH(MAX(C36:E36),C36:E36,0))</f>
        <v>C</v>
      </c>
    </row>
    <row r="37" spans="1:6" x14ac:dyDescent="0.2">
      <c r="A37" s="20">
        <v>0.64</v>
      </c>
      <c r="B37" s="21">
        <f t="shared" ref="B37:B68" si="1">(1-A37)/5</f>
        <v>7.1999999999999995E-2</v>
      </c>
      <c r="C37" s="17">
        <f>A37*Scores!D11+B37*(SUM(Scores!D6:D11)-Scores!D11)</f>
        <v>36.599999999999994</v>
      </c>
      <c r="D37" s="17">
        <f>A37*Scores!E11+B37*(SUM(Scores!E6:E11)-Scores!E11)</f>
        <v>46</v>
      </c>
      <c r="E37" s="17">
        <f>A37*Scores!F11+B37*(SUM(Scores!F6:F11)-Scores!F11)</f>
        <v>77.831999999999994</v>
      </c>
      <c r="F37" s="7" t="str">
        <f>INDEX({"A","B","C"},MATCH(MAX(C37:E37),C37:E37,0))</f>
        <v>C</v>
      </c>
    </row>
    <row r="38" spans="1:6" x14ac:dyDescent="0.2">
      <c r="A38" s="20">
        <v>0.66</v>
      </c>
      <c r="B38" s="21">
        <f t="shared" si="1"/>
        <v>6.7999999999999991E-2</v>
      </c>
      <c r="C38" s="17">
        <f>A38*Scores!D11+B38*(SUM(Scores!D6:D11)-Scores!D11)</f>
        <v>35.4</v>
      </c>
      <c r="D38" s="17">
        <f>A38*Scores!E11+B38*(SUM(Scores!E6:E11)-Scores!E11)</f>
        <v>46.5</v>
      </c>
      <c r="E38" s="17">
        <f>A38*Scores!F11+B38*(SUM(Scores!F6:F11)-Scores!F11)</f>
        <v>78.50800000000001</v>
      </c>
      <c r="F38" s="7" t="str">
        <f>INDEX({"A","B","C"},MATCH(MAX(C38:E38),C38:E38,0))</f>
        <v>C</v>
      </c>
    </row>
    <row r="39" spans="1:6" x14ac:dyDescent="0.2">
      <c r="A39" s="20">
        <v>0.68</v>
      </c>
      <c r="B39" s="21">
        <f t="shared" si="1"/>
        <v>6.3999999999999987E-2</v>
      </c>
      <c r="C39" s="17">
        <f>A39*Scores!D11+B39*(SUM(Scores!D6:D11)-Scores!D11)</f>
        <v>34.199999999999996</v>
      </c>
      <c r="D39" s="17">
        <f>A39*Scores!E11+B39*(SUM(Scores!E6:E11)-Scores!E11)</f>
        <v>47</v>
      </c>
      <c r="E39" s="17">
        <f>A39*Scores!F11+B39*(SUM(Scores!F6:F11)-Scores!F11)</f>
        <v>79.183999999999997</v>
      </c>
      <c r="F39" s="7" t="str">
        <f>INDEX({"A","B","C"},MATCH(MAX(C39:E39),C39:E39,0))</f>
        <v>C</v>
      </c>
    </row>
    <row r="40" spans="1:6" x14ac:dyDescent="0.2">
      <c r="A40" s="20">
        <v>0.7</v>
      </c>
      <c r="B40" s="21">
        <f t="shared" si="1"/>
        <v>6.0000000000000012E-2</v>
      </c>
      <c r="C40" s="17">
        <f>A40*Scores!D11+B40*(SUM(Scores!D6:D11)-Scores!D11)</f>
        <v>33</v>
      </c>
      <c r="D40" s="17">
        <f>A40*Scores!E11+B40*(SUM(Scores!E6:E11)-Scores!E11)</f>
        <v>47.5</v>
      </c>
      <c r="E40" s="17">
        <f>A40*Scores!F11+B40*(SUM(Scores!F6:F11)-Scores!F11)</f>
        <v>79.86</v>
      </c>
      <c r="F40" s="7" t="str">
        <f>INDEX({"A","B","C"},MATCH(MAX(C40:E40),C40:E40,0))</f>
        <v>C</v>
      </c>
    </row>
    <row r="41" spans="1:6" x14ac:dyDescent="0.2">
      <c r="A41" s="20">
        <v>0.72</v>
      </c>
      <c r="B41" s="21">
        <f t="shared" si="1"/>
        <v>5.6000000000000008E-2</v>
      </c>
      <c r="C41" s="17">
        <f>A41*Scores!D11+B41*(SUM(Scores!D6:D11)-Scores!D11)</f>
        <v>31.800000000000004</v>
      </c>
      <c r="D41" s="17">
        <f>A41*Scores!E11+B41*(SUM(Scores!E6:E11)-Scores!E11)</f>
        <v>48</v>
      </c>
      <c r="E41" s="17">
        <f>A41*Scores!F11+B41*(SUM(Scores!F6:F11)-Scores!F11)</f>
        <v>80.536000000000001</v>
      </c>
      <c r="F41" s="7" t="str">
        <f>INDEX({"A","B","C"},MATCH(MAX(C41:E41),C41:E41,0))</f>
        <v>C</v>
      </c>
    </row>
    <row r="42" spans="1:6" x14ac:dyDescent="0.2">
      <c r="A42" s="20">
        <v>0.74</v>
      </c>
      <c r="B42" s="21">
        <f t="shared" si="1"/>
        <v>5.2000000000000005E-2</v>
      </c>
      <c r="C42" s="17">
        <f>A42*Scores!D11+B42*(SUM(Scores!D6:D11)-Scores!D11)</f>
        <v>30.6</v>
      </c>
      <c r="D42" s="17">
        <f>A42*Scores!E11+B42*(SUM(Scores!E6:E11)-Scores!E11)</f>
        <v>48.5</v>
      </c>
      <c r="E42" s="17">
        <f>A42*Scores!F11+B42*(SUM(Scores!F6:F11)-Scores!F11)</f>
        <v>81.211999999999989</v>
      </c>
      <c r="F42" s="7" t="str">
        <f>INDEX({"A","B","C"},MATCH(MAX(C42:E42),C42:E42,0))</f>
        <v>C</v>
      </c>
    </row>
    <row r="43" spans="1:6" x14ac:dyDescent="0.2">
      <c r="A43" s="20">
        <v>0.76</v>
      </c>
      <c r="B43" s="21">
        <f t="shared" si="1"/>
        <v>4.8000000000000001E-2</v>
      </c>
      <c r="C43" s="17">
        <f>A43*Scores!D11+B43*(SUM(Scores!D6:D11)-Scores!D11)</f>
        <v>29.4</v>
      </c>
      <c r="D43" s="17">
        <f>A43*Scores!E11+B43*(SUM(Scores!E6:E11)-Scores!E11)</f>
        <v>49</v>
      </c>
      <c r="E43" s="17">
        <f>A43*Scores!F11+B43*(SUM(Scores!F6:F11)-Scores!F11)</f>
        <v>81.888000000000005</v>
      </c>
      <c r="F43" s="7" t="str">
        <f>INDEX({"A","B","C"},MATCH(MAX(C43:E43),C43:E43,0))</f>
        <v>C</v>
      </c>
    </row>
    <row r="44" spans="1:6" x14ac:dyDescent="0.2">
      <c r="A44" s="20">
        <v>0.78</v>
      </c>
      <c r="B44" s="21">
        <f t="shared" si="1"/>
        <v>4.3999999999999997E-2</v>
      </c>
      <c r="C44" s="17">
        <f>A44*Scores!D11+B44*(SUM(Scores!D6:D11)-Scores!D11)</f>
        <v>28.200000000000003</v>
      </c>
      <c r="D44" s="17">
        <f>A44*Scores!E11+B44*(SUM(Scores!E6:E11)-Scores!E11)</f>
        <v>49.5</v>
      </c>
      <c r="E44" s="17">
        <f>A44*Scores!F11+B44*(SUM(Scores!F6:F11)-Scores!F11)</f>
        <v>82.564000000000007</v>
      </c>
      <c r="F44" s="7" t="str">
        <f>INDEX({"A","B","C"},MATCH(MAX(C44:E44),C44:E44,0))</f>
        <v>C</v>
      </c>
    </row>
    <row r="45" spans="1:6" x14ac:dyDescent="0.2">
      <c r="A45" s="20">
        <v>0.8</v>
      </c>
      <c r="B45" s="21">
        <f t="shared" si="1"/>
        <v>3.9999999999999994E-2</v>
      </c>
      <c r="C45" s="17">
        <f>A45*Scores!D11+B45*(SUM(Scores!D6:D11)-Scores!D11)</f>
        <v>27</v>
      </c>
      <c r="D45" s="17">
        <f>A45*Scores!E11+B45*(SUM(Scores!E6:E11)-Scores!E11)</f>
        <v>50</v>
      </c>
      <c r="E45" s="17">
        <f>A45*Scores!F11+B45*(SUM(Scores!F6:F11)-Scores!F11)</f>
        <v>83.24</v>
      </c>
      <c r="F45" s="7" t="str">
        <f>INDEX({"A","B","C"},MATCH(MAX(C45:E45),C45:E45,0))</f>
        <v>C</v>
      </c>
    </row>
    <row r="46" spans="1:6" x14ac:dyDescent="0.2">
      <c r="A46" s="20">
        <v>0.82</v>
      </c>
      <c r="B46" s="21">
        <f t="shared" si="1"/>
        <v>3.6000000000000011E-2</v>
      </c>
      <c r="C46" s="17">
        <f>A46*Scores!D11+B46*(SUM(Scores!D6:D11)-Scores!D11)</f>
        <v>25.800000000000004</v>
      </c>
      <c r="D46" s="17">
        <f>A46*Scores!E11+B46*(SUM(Scores!E6:E11)-Scores!E11)</f>
        <v>50.499999999999993</v>
      </c>
      <c r="E46" s="17">
        <f>A46*Scores!F11+B46*(SUM(Scores!F6:F11)-Scores!F11)</f>
        <v>83.915999999999997</v>
      </c>
      <c r="F46" s="7" t="str">
        <f>INDEX({"A","B","C"},MATCH(MAX(C46:E46),C46:E46,0))</f>
        <v>C</v>
      </c>
    </row>
    <row r="47" spans="1:6" x14ac:dyDescent="0.2">
      <c r="A47" s="20">
        <v>0.84</v>
      </c>
      <c r="B47" s="21">
        <f t="shared" si="1"/>
        <v>3.2000000000000008E-2</v>
      </c>
      <c r="C47" s="17">
        <f>A47*Scores!D11+B47*(SUM(Scores!D6:D11)-Scores!D11)</f>
        <v>24.6</v>
      </c>
      <c r="D47" s="17">
        <f>A47*Scores!E11+B47*(SUM(Scores!E6:E11)-Scores!E11)</f>
        <v>51</v>
      </c>
      <c r="E47" s="17">
        <f>A47*Scores!F11+B47*(SUM(Scores!F6:F11)-Scores!F11)</f>
        <v>84.591999999999999</v>
      </c>
      <c r="F47" s="7" t="str">
        <f>INDEX({"A","B","C"},MATCH(MAX(C47:E47),C47:E47,0))</f>
        <v>C</v>
      </c>
    </row>
    <row r="48" spans="1:6" x14ac:dyDescent="0.2">
      <c r="A48" s="20">
        <v>0.86</v>
      </c>
      <c r="B48" s="21">
        <f t="shared" si="1"/>
        <v>2.8000000000000004E-2</v>
      </c>
      <c r="C48" s="17">
        <f>A48*Scores!D11+B48*(SUM(Scores!D6:D11)-Scores!D11)</f>
        <v>23.400000000000002</v>
      </c>
      <c r="D48" s="17">
        <f>A48*Scores!E11+B48*(SUM(Scores!E6:E11)-Scores!E11)</f>
        <v>51.5</v>
      </c>
      <c r="E48" s="17">
        <f>A48*Scores!F11+B48*(SUM(Scores!F6:F11)-Scores!F11)</f>
        <v>85.268000000000001</v>
      </c>
      <c r="F48" s="7" t="str">
        <f>INDEX({"A","B","C"},MATCH(MAX(C48:E48),C48:E48,0))</f>
        <v>C</v>
      </c>
    </row>
    <row r="49" spans="1:6" x14ac:dyDescent="0.2">
      <c r="A49" s="20">
        <v>0.88</v>
      </c>
      <c r="B49" s="21">
        <f t="shared" si="1"/>
        <v>2.4E-2</v>
      </c>
      <c r="C49" s="17">
        <f>A49*Scores!D11+B49*(SUM(Scores!D6:D11)-Scores!D11)</f>
        <v>22.2</v>
      </c>
      <c r="D49" s="17">
        <f>A49*Scores!E11+B49*(SUM(Scores!E6:E11)-Scores!E11)</f>
        <v>52</v>
      </c>
      <c r="E49" s="17">
        <f>A49*Scores!F11+B49*(SUM(Scores!F6:F11)-Scores!F11)</f>
        <v>85.944000000000003</v>
      </c>
      <c r="F49" s="7" t="str">
        <f>INDEX({"A","B","C"},MATCH(MAX(C49:E49),C49:E49,0))</f>
        <v>C</v>
      </c>
    </row>
    <row r="50" spans="1:6" x14ac:dyDescent="0.2">
      <c r="A50" s="20">
        <v>0.9</v>
      </c>
      <c r="B50" s="21">
        <f t="shared" si="1"/>
        <v>1.9999999999999997E-2</v>
      </c>
      <c r="C50" s="17">
        <f>A50*Scores!D11+B50*(SUM(Scores!D6:D11)-Scores!D11)</f>
        <v>21</v>
      </c>
      <c r="D50" s="17">
        <f>A50*Scores!E11+B50*(SUM(Scores!E6:E11)-Scores!E11)</f>
        <v>52.5</v>
      </c>
      <c r="E50" s="17">
        <f>A50*Scores!F11+B50*(SUM(Scores!F6:F11)-Scores!F11)</f>
        <v>86.62</v>
      </c>
      <c r="F50" s="7" t="str">
        <f>INDEX({"A","B","C"},MATCH(MAX(C50:E50),C50:E50,0))</f>
        <v>C</v>
      </c>
    </row>
    <row r="51" spans="1:6" x14ac:dyDescent="0.2">
      <c r="A51" s="20">
        <v>0.92</v>
      </c>
      <c r="B51" s="21">
        <f t="shared" si="1"/>
        <v>1.5999999999999993E-2</v>
      </c>
      <c r="C51" s="17">
        <f>A51*Scores!D11+B51*(SUM(Scores!D6:D11)-Scores!D11)</f>
        <v>19.799999999999997</v>
      </c>
      <c r="D51" s="17">
        <f>A51*Scores!E11+B51*(SUM(Scores!E6:E11)-Scores!E11)</f>
        <v>53</v>
      </c>
      <c r="E51" s="17">
        <f>A51*Scores!F11+B51*(SUM(Scores!F6:F11)-Scores!F11)</f>
        <v>87.295999999999992</v>
      </c>
      <c r="F51" s="7" t="str">
        <f>INDEX({"A","B","C"},MATCH(MAX(C51:E51),C51:E51,0))</f>
        <v>C</v>
      </c>
    </row>
    <row r="52" spans="1:6" x14ac:dyDescent="0.2">
      <c r="A52" s="20">
        <v>0.94</v>
      </c>
      <c r="B52" s="21">
        <f t="shared" si="1"/>
        <v>1.2000000000000011E-2</v>
      </c>
      <c r="C52" s="17">
        <f>A52*Scores!D11+B52*(SUM(Scores!D6:D11)-Scores!D11)</f>
        <v>18.600000000000001</v>
      </c>
      <c r="D52" s="17">
        <f>A52*Scores!E11+B52*(SUM(Scores!E6:E11)-Scores!E11)</f>
        <v>53.5</v>
      </c>
      <c r="E52" s="17">
        <f>A52*Scores!F11+B52*(SUM(Scores!F6:F11)-Scores!F11)</f>
        <v>87.971999999999994</v>
      </c>
      <c r="F52" s="7" t="str">
        <f>INDEX({"A","B","C"},MATCH(MAX(C52:E52),C52:E52,0))</f>
        <v>C</v>
      </c>
    </row>
    <row r="53" spans="1:6" x14ac:dyDescent="0.2">
      <c r="A53" s="20">
        <v>0.96</v>
      </c>
      <c r="B53" s="21">
        <f t="shared" si="1"/>
        <v>8.0000000000000071E-3</v>
      </c>
      <c r="C53" s="17">
        <f>A53*Scores!D11+B53*(SUM(Scores!D6:D11)-Scores!D11)</f>
        <v>17.400000000000002</v>
      </c>
      <c r="D53" s="17">
        <f>A53*Scores!E11+B53*(SUM(Scores!E6:E11)-Scores!E11)</f>
        <v>54</v>
      </c>
      <c r="E53" s="17">
        <f>A53*Scores!F11+B53*(SUM(Scores!F6:F11)-Scores!F11)</f>
        <v>88.647999999999996</v>
      </c>
      <c r="F53" s="7" t="str">
        <f>INDEX({"A","B","C"},MATCH(MAX(C53:E53),C53:E53,0))</f>
        <v>C</v>
      </c>
    </row>
    <row r="54" spans="1:6" x14ac:dyDescent="0.2">
      <c r="A54" s="20">
        <v>0.98</v>
      </c>
      <c r="B54" s="21">
        <f t="shared" si="1"/>
        <v>4.0000000000000036E-3</v>
      </c>
      <c r="C54" s="17">
        <f>A54*Scores!D11+B54*(SUM(Scores!D6:D11)-Scores!D11)</f>
        <v>16.2</v>
      </c>
      <c r="D54" s="17">
        <f>A54*Scores!E11+B54*(SUM(Scores!E6:E11)-Scores!E11)</f>
        <v>54.5</v>
      </c>
      <c r="E54" s="17">
        <f>A54*Scores!F11+B54*(SUM(Scores!F6:F11)-Scores!F11)</f>
        <v>89.323999999999998</v>
      </c>
      <c r="F54" s="7" t="str">
        <f>INDEX({"A","B","C"},MATCH(MAX(C54:E54),C54:E54,0))</f>
        <v>C</v>
      </c>
    </row>
    <row r="55" spans="1:6" x14ac:dyDescent="0.2">
      <c r="A55" s="20">
        <v>1</v>
      </c>
      <c r="B55" s="21">
        <f t="shared" si="1"/>
        <v>0</v>
      </c>
      <c r="C55" s="17">
        <f>A55*Scores!D11+B55*(SUM(Scores!D6:D11)-Scores!D11)</f>
        <v>15</v>
      </c>
      <c r="D55" s="17">
        <f>A55*Scores!E11+B55*(SUM(Scores!E6:E11)-Scores!E11)</f>
        <v>55</v>
      </c>
      <c r="E55" s="17">
        <f>A55*Scores!F11+B55*(SUM(Scores!F6:F11)-Scores!F11)</f>
        <v>90</v>
      </c>
      <c r="F55" s="7" t="str">
        <f>INDEX({"A","B","C"},MATCH(MAX(C55:E55),C55:E55,0))</f>
        <v>C</v>
      </c>
    </row>
    <row r="57" spans="1:6" x14ac:dyDescent="0.2">
      <c r="A57" s="2" t="s">
        <v>55</v>
      </c>
      <c r="B57" s="2"/>
      <c r="C57" s="22">
        <f>IFERROR(((SUM(Scores!F6:F11)-Scores!F11)-(SUM(Scores!E6:E11)-Scores!E11))/(5*(Scores!E11-Scores!F11)+(SUM(Scores!F6:F11)-Scores!F11)-(SUM(Scores!E6:E11)-Scores!E11)),"undefined")</f>
        <v>-2.9772727272727271</v>
      </c>
    </row>
    <row r="58" spans="1:6" x14ac:dyDescent="0.2">
      <c r="A58" s="2" t="s">
        <v>56</v>
      </c>
      <c r="B58" s="2"/>
      <c r="C58" s="22">
        <f>IFERROR(((SUM(Scores!F6:F11)-Scores!F11)-(SUM(Scores!D6:D11)-Scores!D11))/(5*(Scores!D11-Scores!F11)+(SUM(Scores!F6:F11)-Scores!F11)-(SUM(Scores!D6:D11)-Scores!D11)),"undefined")</f>
        <v>0.20042643923240938</v>
      </c>
    </row>
    <row r="60" spans="1:6" ht="15" customHeight="1" x14ac:dyDescent="0.2">
      <c r="A60" s="3" t="s">
        <v>57</v>
      </c>
      <c r="B60" s="3"/>
      <c r="C60" s="3"/>
      <c r="D60" s="3"/>
      <c r="E60" s="3"/>
      <c r="F60" s="3"/>
    </row>
    <row r="61" spans="1:6" x14ac:dyDescent="0.2">
      <c r="A61" s="3"/>
      <c r="B61" s="3"/>
      <c r="C61" s="3"/>
      <c r="D61" s="3"/>
      <c r="E61" s="3"/>
      <c r="F61" s="3"/>
    </row>
  </sheetData>
  <mergeCells count="5">
    <mergeCell ref="A1:F1"/>
    <mergeCell ref="A2:F3"/>
    <mergeCell ref="A57:B57"/>
    <mergeCell ref="A58:B58"/>
    <mergeCell ref="A60:F6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Scores</vt:lpstr>
      <vt:lpstr>Weights</vt:lpstr>
      <vt:lpstr>Results</vt:lpstr>
      <vt:lpstr>Sensitivity_C1</vt:lpstr>
      <vt:lpstr>Sensitivity_C2</vt:lpstr>
      <vt:lpstr>Sensitivity_C3</vt:lpstr>
      <vt:lpstr>Sensitivity_C4</vt:lpstr>
      <vt:lpstr>Sensitivity_C5</vt:lpstr>
      <vt:lpstr>Sensitivity_C6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Joel Thomas</cp:lastModifiedBy>
  <cp:revision>0</cp:revision>
  <dcterms:created xsi:type="dcterms:W3CDTF">2026-05-01T08:04:08Z</dcterms:created>
  <dcterms:modified xsi:type="dcterms:W3CDTF">2026-05-06T09:56:20Z</dcterms:modified>
  <dc:language>en-US</dc:language>
</cp:coreProperties>
</file>